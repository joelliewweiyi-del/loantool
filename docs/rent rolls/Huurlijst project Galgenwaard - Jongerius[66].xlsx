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axinvest.sharepoint.com/sites/SharepointSite-RaxFinance/Gedeelde documenten/Leningen/515 - Jongerius/Onderpand/"/>
    </mc:Choice>
  </mc:AlternateContent>
  <xr:revisionPtr revIDLastSave="4" documentId="8_{CF28C644-20C7-1241-A4F7-6143E6A60FDE}" xr6:coauthVersionLast="47" xr6:coauthVersionMax="47" xr10:uidLastSave="{8AA9476B-5A0E-46B5-98D3-8924E49F150A}"/>
  <bookViews>
    <workbookView minimized="1" xWindow="33030" yWindow="4230" windowWidth="21600" windowHeight="11175" xr2:uid="{820D9BE8-D46B-CB48-B5F3-D0ECAF27D7CA}"/>
  </bookViews>
  <sheets>
    <sheet name="Basis huurstrome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9" i="1" l="1"/>
  <c r="H35" i="1"/>
  <c r="H36" i="1" s="1"/>
  <c r="G22" i="1"/>
</calcChain>
</file>

<file path=xl/sharedStrings.xml><?xml version="1.0" encoding="utf-8"?>
<sst xmlns="http://schemas.openxmlformats.org/spreadsheetml/2006/main" count="93" uniqueCount="53">
  <si>
    <t>Rental income Galgenwaard Onroerend Goed BV</t>
  </si>
  <si>
    <t>Name tennant</t>
  </si>
  <si>
    <t>End of contract</t>
  </si>
  <si>
    <t>Location</t>
  </si>
  <si>
    <t>M²</t>
  </si>
  <si>
    <t>Interstep</t>
  </si>
  <si>
    <t>Hk noord</t>
  </si>
  <si>
    <t>VSU</t>
  </si>
  <si>
    <t>John West Holland B.V.</t>
  </si>
  <si>
    <t>SSC</t>
  </si>
  <si>
    <t>Medisch Contact Centrum</t>
  </si>
  <si>
    <t>Employee Wellbeing Company B.V. / Nolost</t>
  </si>
  <si>
    <t>T-Mobile (zendmast)</t>
  </si>
  <si>
    <t>KPN Zendmast</t>
  </si>
  <si>
    <t>Huid en Laser</t>
  </si>
  <si>
    <t>Hk oost</t>
  </si>
  <si>
    <t>Van den Berg, De Rie en Uyterlinde</t>
  </si>
  <si>
    <t>Stichting Mulier Instituut</t>
  </si>
  <si>
    <t>Administratie en Adviescentrum ACN B.V.</t>
  </si>
  <si>
    <t>Stichting de Opbouw</t>
  </si>
  <si>
    <t>ROC Midden Nederland</t>
  </si>
  <si>
    <t>Hk zuid</t>
  </si>
  <si>
    <t>Hk west</t>
  </si>
  <si>
    <t>Leroy Grau</t>
  </si>
  <si>
    <t>Ans de Wijn Bedrijfshuisvesting B.V.</t>
  </si>
  <si>
    <t>Work On</t>
  </si>
  <si>
    <t>Twelve Nieuw (2e verdieping)</t>
  </si>
  <si>
    <t>FMMU B.V.</t>
  </si>
  <si>
    <t>stadion zuid</t>
  </si>
  <si>
    <t>Gemeente Utrecht</t>
  </si>
  <si>
    <t>Fitter Club Utrecht</t>
  </si>
  <si>
    <t>Gemeente Utrecht DMO</t>
  </si>
  <si>
    <t>Nolost</t>
  </si>
  <si>
    <t>Team advocaten</t>
  </si>
  <si>
    <t>A.Boonen</t>
  </si>
  <si>
    <t>Philadelphia</t>
  </si>
  <si>
    <t>TEAM Advocaten (archief)</t>
  </si>
  <si>
    <t>Huurbedrag</t>
  </si>
  <si>
    <t>Ingangsdatum huur</t>
  </si>
  <si>
    <t>Opzegtermijn in mnd</t>
  </si>
  <si>
    <t>Verlengingsperiode</t>
  </si>
  <si>
    <t>-</t>
  </si>
  <si>
    <t>onbepaalde tijd</t>
  </si>
  <si>
    <t>telkens 10 jaar</t>
  </si>
  <si>
    <t>telkens 1 jaar</t>
  </si>
  <si>
    <t>5 jaar</t>
  </si>
  <si>
    <t>4+5+5 jaar</t>
  </si>
  <si>
    <t>1 jaar</t>
  </si>
  <si>
    <t>5+5 jaar</t>
  </si>
  <si>
    <t>telkens 2 jaar</t>
  </si>
  <si>
    <t>telkens 5 jaar</t>
  </si>
  <si>
    <t>3 jaar</t>
  </si>
  <si>
    <t>leegstand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</si>
</sst>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€&quot;\ * #,##0.00_);_(&quot;€&quot;\ * \(#,##0.00\);_(&quot;€&quot;\ * &quot;-&quot;??_);_(@_)"/>
    <numFmt numFmtId="165" formatCode="_(* #,##0.00_);_(* \(#,##0.00\);_(* &quot;-&quot;??_);_(@_)"/>
    <numFmt numFmtId="166" formatCode="_-&quot;€&quot;\ * #,##0.00_-;_-&quot;€&quot;\ * #,##0.00\-;_-&quot;€&quot;\ * &quot;-&quot;??_-;_-@_-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2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009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166" fontId="3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0" fontId="4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0" fontId="3" fillId="0" borderId="0" xfId="0" applyFont="1"/>
    <xf numFmtId="14" fontId="0" fillId="0" borderId="0" xfId="0" applyNumberFormat="1"/>
    <xf numFmtId="165" fontId="0" fillId="0" borderId="0" xfId="1" applyFont="1" applyFill="1"/>
    <xf numFmtId="165" fontId="3" fillId="0" borderId="0" xfId="1" applyFont="1" applyFill="1"/>
    <xf numFmtId="164" fontId="0" fillId="0" borderId="0" xfId="3" applyFont="1"/>
    <xf numFmtId="164" fontId="0" fillId="0" borderId="0" xfId="0" applyNumberFormat="1"/>
    <xf numFmtId="165" fontId="0" fillId="0" borderId="0" xfId="0" applyNumberFormat="1"/>
  </cellXfs>
  <cellStyles count="4">
    <cellStyle name="Comma" xfId="1" builtinId="3"/>
    <cellStyle name="Currency" xfId="3" builtinId="4"/>
    <cellStyle name="Euro" xfId="2" xr:uid="{A049BC8A-8734-4E48-A616-FB451687CCB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B55C7-E106-D641-9C60-7CC680067D5B}">
  <sheetPr>
    <pageSetUpPr fitToPage="1"/>
  </sheetPr>
  <dimension ref="A1:BG39"/>
  <sheetViews>
    <sheetView tabSelected="1" zoomScaleNormal="100" workbookViewId="0">
      <pane xSplit="1" ySplit="4" topLeftCell="B11" activePane="bottomRight" state="frozen"/>
      <selection pane="topRight" activeCell="B1" sqref="B1"/>
      <selection pane="bottomLeft" activeCell="A5" sqref="A5"/>
      <selection pane="bottomRight" activeCell="G28" sqref="G5:G28"/>
    </sheetView>
  </sheetViews>
  <sheetFormatPr defaultColWidth="10.625" defaultRowHeight="15.75" x14ac:dyDescent="0.25"/>
  <cols>
    <col min="1" max="1" width="48.5" bestFit="1" customWidth="1"/>
    <col min="2" max="2" width="26" customWidth="1"/>
    <col min="3" max="3" width="13.5" bestFit="1" customWidth="1"/>
    <col min="4" max="5" width="18.125" customWidth="1"/>
    <col min="6" max="6" width="11.875" bestFit="1" customWidth="1"/>
    <col min="8" max="8" width="31.375" bestFit="1" customWidth="1"/>
    <col min="9" max="9" width="14.875" customWidth="1"/>
    <col min="10" max="10" width="14.5" bestFit="1" customWidth="1"/>
    <col min="11" max="11" width="13.375" customWidth="1"/>
    <col min="12" max="12" width="12.875" customWidth="1"/>
    <col min="13" max="13" width="12.625" customWidth="1"/>
    <col min="14" max="14" width="14.5" customWidth="1"/>
    <col min="15" max="15" width="13" customWidth="1"/>
    <col min="16" max="16" width="13.5" customWidth="1"/>
    <col min="17" max="18" width="14.125" customWidth="1"/>
    <col min="19" max="19" width="14.5" customWidth="1"/>
    <col min="20" max="21" width="15" customWidth="1"/>
    <col min="22" max="24" width="14.375" customWidth="1"/>
    <col min="25" max="25" width="14.5" customWidth="1"/>
    <col min="26" max="26" width="13.875" customWidth="1"/>
    <col min="27" max="27" width="14.375" customWidth="1"/>
    <col min="28" max="28" width="13.375" customWidth="1"/>
    <col min="29" max="30" width="12.875" customWidth="1"/>
    <col min="31" max="31" width="13" customWidth="1"/>
    <col min="32" max="32" width="12.625" customWidth="1"/>
    <col min="33" max="33" width="13.125" customWidth="1"/>
    <col min="34" max="34" width="14.625" customWidth="1"/>
    <col min="35" max="36" width="13.375" customWidth="1"/>
    <col min="37" max="37" width="13.5" customWidth="1"/>
    <col min="38" max="38" width="13.875" customWidth="1"/>
    <col min="39" max="39" width="14.125" customWidth="1"/>
    <col min="40" max="40" width="13.375" customWidth="1"/>
    <col min="41" max="41" width="12.875" customWidth="1"/>
    <col min="42" max="42" width="13" customWidth="1"/>
    <col min="43" max="43" width="13.375" customWidth="1"/>
    <col min="44" max="44" width="13.125" customWidth="1"/>
    <col min="45" max="45" width="13.875" customWidth="1"/>
    <col min="46" max="46" width="13.125" customWidth="1"/>
    <col min="47" max="47" width="13.5" customWidth="1"/>
    <col min="48" max="48" width="13.625" customWidth="1"/>
    <col min="49" max="50" width="14.5" customWidth="1"/>
    <col min="51" max="51" width="13.875" customWidth="1"/>
    <col min="52" max="52" width="13" customWidth="1"/>
    <col min="53" max="53" width="13.875" customWidth="1"/>
    <col min="54" max="54" width="12.625" customWidth="1"/>
    <col min="55" max="55" width="14.375" customWidth="1"/>
    <col min="56" max="56" width="14.125" customWidth="1"/>
    <col min="57" max="57" width="13" customWidth="1"/>
    <col min="58" max="58" width="12.875" customWidth="1"/>
    <col min="59" max="59" width="14" customWidth="1"/>
  </cols>
  <sheetData>
    <row r="1" spans="1:59" x14ac:dyDescent="0.25">
      <c r="A1" s="1" t="s">
        <v>0</v>
      </c>
      <c r="B1" s="1"/>
    </row>
    <row r="3" spans="1:59" x14ac:dyDescent="0.25">
      <c r="A3" s="2"/>
      <c r="B3" s="2"/>
      <c r="C3" s="2"/>
      <c r="D3" s="2"/>
      <c r="E3" s="2"/>
      <c r="F3" s="2"/>
      <c r="G3" s="2"/>
      <c r="H3" s="2"/>
    </row>
    <row r="4" spans="1:59" x14ac:dyDescent="0.25">
      <c r="A4" s="3" t="s">
        <v>1</v>
      </c>
      <c r="B4" s="3" t="s">
        <v>38</v>
      </c>
      <c r="C4" s="4" t="s">
        <v>2</v>
      </c>
      <c r="D4" s="4" t="s">
        <v>39</v>
      </c>
      <c r="E4" s="4" t="s">
        <v>40</v>
      </c>
      <c r="F4" s="3" t="s">
        <v>3</v>
      </c>
      <c r="G4" s="4" t="s">
        <v>4</v>
      </c>
      <c r="H4" s="4" t="s">
        <v>37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</row>
    <row r="5" spans="1:59" x14ac:dyDescent="0.25">
      <c r="A5" s="5" t="s">
        <v>5</v>
      </c>
      <c r="B5" s="6">
        <v>41760</v>
      </c>
      <c r="C5" s="6">
        <v>45412</v>
      </c>
      <c r="D5" s="6" t="s">
        <v>41</v>
      </c>
      <c r="E5" s="6" t="s">
        <v>41</v>
      </c>
      <c r="F5" t="s">
        <v>6</v>
      </c>
      <c r="G5" s="7">
        <v>311</v>
      </c>
      <c r="H5" s="9">
        <v>44528.24</v>
      </c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</row>
    <row r="6" spans="1:59" x14ac:dyDescent="0.25">
      <c r="A6" t="s">
        <v>7</v>
      </c>
      <c r="B6" s="6">
        <v>43405</v>
      </c>
      <c r="C6" s="6">
        <v>47056</v>
      </c>
      <c r="D6">
        <v>12</v>
      </c>
      <c r="E6" s="6" t="s">
        <v>43</v>
      </c>
      <c r="F6" t="s">
        <v>6</v>
      </c>
      <c r="G6" s="7">
        <v>583</v>
      </c>
      <c r="H6" s="9">
        <v>78548.88</v>
      </c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</row>
    <row r="7" spans="1:59" x14ac:dyDescent="0.25">
      <c r="A7" s="5" t="s">
        <v>8</v>
      </c>
      <c r="B7" s="6">
        <v>41091</v>
      </c>
      <c r="C7" s="6">
        <v>46203</v>
      </c>
      <c r="D7">
        <v>6</v>
      </c>
      <c r="E7" s="6" t="s">
        <v>46</v>
      </c>
      <c r="F7" t="s">
        <v>6</v>
      </c>
      <c r="G7" s="7">
        <v>340.8</v>
      </c>
      <c r="H7" s="9">
        <v>42564.2</v>
      </c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</row>
    <row r="8" spans="1:59" x14ac:dyDescent="0.25">
      <c r="A8" s="5" t="s">
        <v>9</v>
      </c>
      <c r="B8" s="6">
        <v>43070</v>
      </c>
      <c r="C8" s="6">
        <v>48182</v>
      </c>
      <c r="D8">
        <v>3</v>
      </c>
      <c r="E8" s="6" t="s">
        <v>42</v>
      </c>
      <c r="F8" t="s">
        <v>6</v>
      </c>
      <c r="G8" s="7">
        <v>200</v>
      </c>
      <c r="H8" s="9">
        <v>29432.639999999999</v>
      </c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</row>
    <row r="9" spans="1:59" x14ac:dyDescent="0.25">
      <c r="A9" s="5" t="s">
        <v>10</v>
      </c>
      <c r="B9" s="6">
        <v>43525</v>
      </c>
      <c r="C9" s="6">
        <v>48182</v>
      </c>
      <c r="D9">
        <v>3</v>
      </c>
      <c r="E9" s="6"/>
      <c r="F9" t="s">
        <v>6</v>
      </c>
      <c r="G9" s="7">
        <v>190</v>
      </c>
      <c r="H9" s="9">
        <v>27140.52</v>
      </c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</row>
    <row r="10" spans="1:59" x14ac:dyDescent="0.25">
      <c r="A10" s="5" t="s">
        <v>52</v>
      </c>
      <c r="B10" s="6"/>
      <c r="C10" s="6"/>
      <c r="E10" s="6"/>
      <c r="G10" s="7"/>
      <c r="H10" s="9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</row>
    <row r="11" spans="1:59" x14ac:dyDescent="0.25">
      <c r="A11" s="5" t="s">
        <v>52</v>
      </c>
      <c r="B11" s="6"/>
      <c r="C11" s="6"/>
      <c r="E11" s="6"/>
      <c r="G11" s="7"/>
      <c r="H11" s="9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</row>
    <row r="12" spans="1:59" x14ac:dyDescent="0.25">
      <c r="A12" s="5" t="s">
        <v>33</v>
      </c>
      <c r="B12" s="6">
        <v>43466</v>
      </c>
      <c r="C12" s="6">
        <v>47118</v>
      </c>
      <c r="D12">
        <v>3</v>
      </c>
      <c r="E12" s="6"/>
      <c r="F12" t="s">
        <v>6</v>
      </c>
      <c r="G12" s="7">
        <v>448.5</v>
      </c>
      <c r="H12" s="9">
        <v>78531.199999999997</v>
      </c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</row>
    <row r="13" spans="1:59" x14ac:dyDescent="0.25">
      <c r="A13" s="5" t="s">
        <v>11</v>
      </c>
      <c r="B13" s="6">
        <v>44927</v>
      </c>
      <c r="C13" s="6">
        <v>46022</v>
      </c>
      <c r="D13">
        <v>6</v>
      </c>
      <c r="E13" s="6" t="s">
        <v>44</v>
      </c>
      <c r="F13" t="s">
        <v>6</v>
      </c>
      <c r="G13" s="7">
        <v>200</v>
      </c>
      <c r="H13" s="9">
        <v>24926</v>
      </c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</row>
    <row r="14" spans="1:59" x14ac:dyDescent="0.25">
      <c r="A14" s="5" t="s">
        <v>32</v>
      </c>
      <c r="B14" s="6">
        <v>44927</v>
      </c>
      <c r="C14" s="6">
        <v>46012</v>
      </c>
      <c r="D14">
        <v>6</v>
      </c>
      <c r="E14" s="6" t="s">
        <v>44</v>
      </c>
      <c r="F14" t="s">
        <v>6</v>
      </c>
      <c r="G14" s="7">
        <v>220</v>
      </c>
      <c r="H14" s="9">
        <v>29400</v>
      </c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</row>
    <row r="15" spans="1:59" x14ac:dyDescent="0.25">
      <c r="A15" s="5" t="s">
        <v>12</v>
      </c>
      <c r="B15" s="6"/>
      <c r="C15" s="6">
        <v>45406</v>
      </c>
      <c r="E15" s="6"/>
      <c r="F15" t="s">
        <v>6</v>
      </c>
      <c r="G15" s="8">
        <v>0</v>
      </c>
      <c r="H15" s="9">
        <v>8791.84</v>
      </c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</row>
    <row r="16" spans="1:59" x14ac:dyDescent="0.25">
      <c r="A16" s="5" t="s">
        <v>13</v>
      </c>
      <c r="B16" s="6"/>
      <c r="C16" s="6">
        <v>46204</v>
      </c>
      <c r="E16" s="6"/>
      <c r="F16" t="s">
        <v>6</v>
      </c>
      <c r="G16" s="8">
        <v>0</v>
      </c>
      <c r="H16" s="9">
        <v>3500</v>
      </c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</row>
    <row r="17" spans="1:59" x14ac:dyDescent="0.25">
      <c r="A17" t="s">
        <v>14</v>
      </c>
      <c r="B17" s="6">
        <v>44409</v>
      </c>
      <c r="C17" s="6">
        <v>46203</v>
      </c>
      <c r="D17">
        <v>6</v>
      </c>
      <c r="E17" s="6" t="s">
        <v>45</v>
      </c>
      <c r="F17" t="s">
        <v>15</v>
      </c>
      <c r="G17" s="7">
        <v>350</v>
      </c>
      <c r="H17" s="9">
        <v>48703.44</v>
      </c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</row>
    <row r="18" spans="1:59" x14ac:dyDescent="0.25">
      <c r="A18" s="5" t="s">
        <v>16</v>
      </c>
      <c r="B18" s="6">
        <v>43862</v>
      </c>
      <c r="C18" s="6">
        <v>45291</v>
      </c>
      <c r="D18">
        <v>3</v>
      </c>
      <c r="E18" s="6" t="s">
        <v>47</v>
      </c>
      <c r="F18" t="s">
        <v>15</v>
      </c>
      <c r="G18" s="7">
        <v>180</v>
      </c>
      <c r="H18" s="9">
        <v>25777.68</v>
      </c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</row>
    <row r="19" spans="1:59" x14ac:dyDescent="0.25">
      <c r="A19" s="5" t="s">
        <v>17</v>
      </c>
      <c r="B19" s="6">
        <v>44562</v>
      </c>
      <c r="C19" s="6">
        <v>46387</v>
      </c>
      <c r="D19">
        <v>3</v>
      </c>
      <c r="E19" s="6" t="s">
        <v>45</v>
      </c>
      <c r="F19" t="s">
        <v>15</v>
      </c>
      <c r="G19" s="7">
        <v>787</v>
      </c>
      <c r="H19" s="9">
        <v>106245</v>
      </c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</row>
    <row r="20" spans="1:59" x14ac:dyDescent="0.25">
      <c r="A20" s="5" t="s">
        <v>18</v>
      </c>
      <c r="B20" s="6">
        <v>43132</v>
      </c>
      <c r="C20" s="6">
        <v>45657</v>
      </c>
      <c r="D20">
        <v>3</v>
      </c>
      <c r="E20" s="6" t="s">
        <v>47</v>
      </c>
      <c r="F20" t="s">
        <v>15</v>
      </c>
      <c r="G20" s="7">
        <v>123.35</v>
      </c>
      <c r="H20" s="9">
        <v>15325.76</v>
      </c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</row>
    <row r="21" spans="1:59" x14ac:dyDescent="0.25">
      <c r="A21" s="5" t="s">
        <v>19</v>
      </c>
      <c r="B21" s="6">
        <v>43374</v>
      </c>
      <c r="C21" s="6">
        <v>47026</v>
      </c>
      <c r="D21">
        <v>3</v>
      </c>
      <c r="E21" s="6" t="s">
        <v>45</v>
      </c>
      <c r="F21" t="s">
        <v>15</v>
      </c>
      <c r="G21" s="7">
        <v>1020</v>
      </c>
      <c r="H21" s="9">
        <v>136055.67999999999</v>
      </c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</row>
    <row r="22" spans="1:59" x14ac:dyDescent="0.25">
      <c r="A22" t="s">
        <v>20</v>
      </c>
      <c r="B22" s="6">
        <v>43282</v>
      </c>
      <c r="C22" s="6">
        <v>46599</v>
      </c>
      <c r="D22">
        <v>12</v>
      </c>
      <c r="E22" s="6" t="s">
        <v>48</v>
      </c>
      <c r="F22" t="s">
        <v>21</v>
      </c>
      <c r="G22" s="7">
        <f>710+818+818</f>
        <v>2346</v>
      </c>
      <c r="H22" s="9">
        <v>332564.96000000002</v>
      </c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</row>
    <row r="23" spans="1:59" x14ac:dyDescent="0.25">
      <c r="A23" s="5" t="s">
        <v>35</v>
      </c>
      <c r="B23" s="6">
        <v>45108</v>
      </c>
      <c r="C23" s="6">
        <v>46934</v>
      </c>
      <c r="D23">
        <v>6</v>
      </c>
      <c r="E23" s="6" t="s">
        <v>44</v>
      </c>
      <c r="F23" t="s">
        <v>22</v>
      </c>
      <c r="G23" s="7">
        <v>200.84</v>
      </c>
      <c r="H23" s="9">
        <v>27000</v>
      </c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</row>
    <row r="24" spans="1:59" x14ac:dyDescent="0.25">
      <c r="A24" s="5" t="s">
        <v>23</v>
      </c>
      <c r="B24" s="6">
        <v>44105</v>
      </c>
      <c r="C24" s="6">
        <v>45565</v>
      </c>
      <c r="D24">
        <v>12</v>
      </c>
      <c r="E24" s="6" t="s">
        <v>49</v>
      </c>
      <c r="F24" t="s">
        <v>22</v>
      </c>
      <c r="G24" s="7">
        <v>103.53</v>
      </c>
      <c r="H24" s="9">
        <v>15979.48</v>
      </c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</row>
    <row r="25" spans="1:59" x14ac:dyDescent="0.25">
      <c r="A25" s="5" t="s">
        <v>24</v>
      </c>
      <c r="B25" s="6">
        <v>36708</v>
      </c>
      <c r="C25" s="6">
        <v>45838</v>
      </c>
      <c r="D25" t="s">
        <v>41</v>
      </c>
      <c r="E25" s="6" t="s">
        <v>50</v>
      </c>
      <c r="F25" t="s">
        <v>22</v>
      </c>
      <c r="G25" s="7">
        <v>350</v>
      </c>
      <c r="H25" s="9">
        <v>54115.44</v>
      </c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</row>
    <row r="26" spans="1:59" x14ac:dyDescent="0.25">
      <c r="A26" s="5" t="s">
        <v>25</v>
      </c>
      <c r="B26" s="6">
        <v>43252</v>
      </c>
      <c r="C26" s="6">
        <v>45077</v>
      </c>
      <c r="D26">
        <v>3</v>
      </c>
      <c r="E26" s="6" t="s">
        <v>45</v>
      </c>
      <c r="F26" t="s">
        <v>22</v>
      </c>
      <c r="G26" s="7">
        <v>275</v>
      </c>
      <c r="H26" s="9">
        <v>45694.2</v>
      </c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</row>
    <row r="27" spans="1:59" x14ac:dyDescent="0.25">
      <c r="A27" s="5" t="s">
        <v>26</v>
      </c>
      <c r="B27" s="6">
        <v>44228</v>
      </c>
      <c r="C27" s="6">
        <v>45291</v>
      </c>
      <c r="D27">
        <v>3</v>
      </c>
      <c r="E27" s="6" t="s">
        <v>51</v>
      </c>
      <c r="F27" t="s">
        <v>22</v>
      </c>
      <c r="G27" s="7">
        <v>358</v>
      </c>
      <c r="H27" s="9">
        <v>49257.08</v>
      </c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</row>
    <row r="28" spans="1:59" x14ac:dyDescent="0.25">
      <c r="A28" s="5" t="s">
        <v>27</v>
      </c>
      <c r="B28" s="6">
        <v>43497</v>
      </c>
      <c r="C28" s="6">
        <v>45322</v>
      </c>
      <c r="D28">
        <v>6</v>
      </c>
      <c r="E28" s="6" t="s">
        <v>47</v>
      </c>
      <c r="F28" t="s">
        <v>22</v>
      </c>
      <c r="G28" s="7">
        <v>745</v>
      </c>
      <c r="H28" s="9">
        <v>226509.84</v>
      </c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</row>
    <row r="29" spans="1:59" x14ac:dyDescent="0.25">
      <c r="A29" s="5" t="s">
        <v>20</v>
      </c>
      <c r="B29" s="6">
        <v>43647</v>
      </c>
      <c r="C29" s="6">
        <v>46599</v>
      </c>
      <c r="D29">
        <v>12</v>
      </c>
      <c r="E29" s="6" t="s">
        <v>48</v>
      </c>
      <c r="F29" t="s">
        <v>28</v>
      </c>
      <c r="G29" s="7">
        <v>1167</v>
      </c>
      <c r="H29" s="9">
        <v>100144.24</v>
      </c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</row>
    <row r="30" spans="1:59" x14ac:dyDescent="0.25">
      <c r="A30" s="5" t="s">
        <v>29</v>
      </c>
      <c r="B30" s="6">
        <v>38899</v>
      </c>
      <c r="C30" s="6">
        <v>46203</v>
      </c>
      <c r="D30">
        <v>12</v>
      </c>
      <c r="E30" s="6" t="s">
        <v>43</v>
      </c>
      <c r="F30" t="s">
        <v>28</v>
      </c>
      <c r="G30" s="7">
        <v>472</v>
      </c>
      <c r="H30" s="9">
        <v>24600.240000000002</v>
      </c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</row>
    <row r="31" spans="1:59" x14ac:dyDescent="0.25">
      <c r="A31" s="5" t="s">
        <v>30</v>
      </c>
      <c r="B31" s="6">
        <v>42736</v>
      </c>
      <c r="C31" s="6">
        <v>46752</v>
      </c>
      <c r="D31">
        <v>6</v>
      </c>
      <c r="E31" s="6" t="s">
        <v>45</v>
      </c>
      <c r="F31" t="s">
        <v>28</v>
      </c>
      <c r="G31" s="7">
        <v>416</v>
      </c>
      <c r="H31" s="9">
        <v>68544</v>
      </c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</row>
    <row r="32" spans="1:59" x14ac:dyDescent="0.25">
      <c r="A32" s="5" t="s">
        <v>34</v>
      </c>
      <c r="B32" s="6"/>
      <c r="C32" s="6">
        <v>47848</v>
      </c>
      <c r="D32">
        <v>12</v>
      </c>
      <c r="E32" s="6" t="s">
        <v>44</v>
      </c>
      <c r="F32" t="s">
        <v>28</v>
      </c>
      <c r="G32" s="7">
        <v>250</v>
      </c>
      <c r="H32" s="9">
        <v>18336</v>
      </c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</row>
    <row r="33" spans="1:59" x14ac:dyDescent="0.25">
      <c r="A33" s="5" t="s">
        <v>31</v>
      </c>
      <c r="B33" s="6">
        <v>38899</v>
      </c>
      <c r="C33" s="6">
        <v>46203</v>
      </c>
      <c r="D33">
        <v>12</v>
      </c>
      <c r="E33" s="6" t="s">
        <v>43</v>
      </c>
      <c r="F33" t="s">
        <v>28</v>
      </c>
      <c r="G33" s="7">
        <v>472</v>
      </c>
      <c r="H33" s="9">
        <v>2353.56</v>
      </c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</row>
    <row r="34" spans="1:59" x14ac:dyDescent="0.25">
      <c r="A34" s="5" t="s">
        <v>36</v>
      </c>
      <c r="B34" s="6">
        <v>45292</v>
      </c>
      <c r="C34" s="6">
        <v>47118</v>
      </c>
      <c r="D34">
        <v>12</v>
      </c>
      <c r="E34" s="6" t="s">
        <v>50</v>
      </c>
      <c r="F34" t="s">
        <v>28</v>
      </c>
      <c r="G34" s="7">
        <v>40</v>
      </c>
      <c r="H34" s="9">
        <v>1743.8</v>
      </c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</row>
    <row r="35" spans="1:59" x14ac:dyDescent="0.25">
      <c r="H35" s="10">
        <f>SUM(H5:H34)</f>
        <v>1666313.9200000002</v>
      </c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</row>
    <row r="36" spans="1:59" x14ac:dyDescent="0.25">
      <c r="H36" s="10">
        <f>H35/12</f>
        <v>138859.49333333335</v>
      </c>
    </row>
    <row r="39" spans="1:59" x14ac:dyDescent="0.25">
      <c r="G39" s="11">
        <f>SUM(G5:G36)</f>
        <v>12149.02</v>
      </c>
    </row>
  </sheetData>
  <pageMargins left="0.7" right="0.7" top="0.75" bottom="0.75" header="0.3" footer="0.3"/>
  <pageSetup paperSize="9" scale="49" orientation="landscape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ADF2BDE47E0440B0329048DF9AA539" ma:contentTypeVersion="18" ma:contentTypeDescription="Create a new document." ma:contentTypeScope="" ma:versionID="2cf9410a106f4db090e978d99ebbc139">
  <xsd:schema xmlns:xsd="http://www.w3.org/2001/XMLSchema" xmlns:xs="http://www.w3.org/2001/XMLSchema" xmlns:p="http://schemas.microsoft.com/office/2006/metadata/properties" xmlns:ns2="a91e38dd-2803-4a7e-9f77-b5b453adaa3a" xmlns:ns3="8783d4f6-7614-4ae5-9e1a-5e2b0a5ec009" targetNamespace="http://schemas.microsoft.com/office/2006/metadata/properties" ma:root="true" ma:fieldsID="16517bf6664d137f190733b849c1436b" ns2:_="" ns3:_="">
    <xsd:import namespace="a91e38dd-2803-4a7e-9f77-b5b453adaa3a"/>
    <xsd:import namespace="8783d4f6-7614-4ae5-9e1a-5e2b0a5ec0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1e38dd-2803-4a7e-9f77-b5b453adaa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7557024-b14b-4d2d-a906-705aef3d5f6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83d4f6-7614-4ae5-9e1a-5e2b0a5ec00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c1a289f-e8d1-4ce9-a72c-9b8f208b7426}" ma:internalName="TaxCatchAll" ma:showField="CatchAllData" ma:web="8783d4f6-7614-4ae5-9e1a-5e2b0a5ec0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783d4f6-7614-4ae5-9e1a-5e2b0a5ec009" xsi:nil="true"/>
    <lcf76f155ced4ddcb4097134ff3c332f xmlns="a91e38dd-2803-4a7e-9f77-b5b453adaa3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CD1D2BB-2A3D-4DB8-992E-8002CD568E1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122C53-7C8A-45EA-829E-175AB9753E38}"/>
</file>

<file path=customXml/itemProps3.xml><?xml version="1.0" encoding="utf-8"?>
<ds:datastoreItem xmlns:ds="http://schemas.openxmlformats.org/officeDocument/2006/customXml" ds:itemID="{489A906C-D077-4AF3-96A8-9CF038320C7D}">
  <ds:schemaRefs>
    <ds:schemaRef ds:uri="http://schemas.microsoft.com/office/2006/metadata/properties"/>
    <ds:schemaRef ds:uri="http://schemas.microsoft.com/office/infopath/2007/PartnerControls"/>
    <ds:schemaRef ds:uri="8783d4f6-7614-4ae5-9e1a-5e2b0a5ec009"/>
    <ds:schemaRef ds:uri="a91e38dd-2803-4a7e-9f77-b5b453adaa3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Basis huurstromen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envastgoed@planet.nl</dc:creator>
  <cp:lastModifiedBy>Joel Liew</cp:lastModifiedBy>
  <cp:lastPrinted>2023-08-18T09:43:07Z</cp:lastPrinted>
  <dcterms:created xsi:type="dcterms:W3CDTF">2021-11-26T09:42:55Z</dcterms:created>
  <dcterms:modified xsi:type="dcterms:W3CDTF">2026-03-09T08:51:40Z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0x01010036ADF2BDE47E0440B0329048DF9AA539</vt:lpwstr>
  </property>
  <property fmtid="{D5CDD505-2E9C-101B-9397-08002B2CF9AE}" pid="3" name="MediaServiceImageTags">
    <vt:lpwstr/>
  </property>
</Properties>
</file>