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axinvest.sharepoint.com/sites/SharepointSite-RaxFinance/Gedeelde documenten/Leningen/518 - Jan Wieger/Onderpand/Opgevraagde HOVK/"/>
    </mc:Choice>
  </mc:AlternateContent>
  <xr:revisionPtr revIDLastSave="1" documentId="11_5EABF5B915DEB45890B6F3EA3EF87590DEB32CA9" xr6:coauthVersionLast="47" xr6:coauthVersionMax="47" xr10:uidLastSave="{6DF3F96B-814D-4814-BD72-D779B4173F01}"/>
  <bookViews>
    <workbookView xWindow="28680" yWindow="-120" windowWidth="29040" windowHeight="15720" tabRatio="500" xr2:uid="{00000000-000D-0000-FFFF-FFFF00000000}"/>
  </bookViews>
  <sheets>
    <sheet name="WALT Analy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H13" i="1"/>
  <c r="H12" i="1"/>
  <c r="H11" i="1"/>
  <c r="H10" i="1"/>
  <c r="G9" i="1"/>
  <c r="H9" i="1" s="1"/>
  <c r="G8" i="1"/>
  <c r="H8" i="1" s="1"/>
  <c r="G7" i="1"/>
  <c r="H7" i="1" s="1"/>
  <c r="G6" i="1"/>
  <c r="H6" i="1" s="1"/>
  <c r="G5" i="1"/>
  <c r="H5" i="1" s="1"/>
  <c r="D18" i="1" l="1"/>
  <c r="H15" i="1"/>
  <c r="D17" i="1" s="1"/>
</calcChain>
</file>

<file path=xl/sharedStrings.xml><?xml version="1.0" encoding="utf-8"?>
<sst xmlns="http://schemas.openxmlformats.org/spreadsheetml/2006/main" count="69" uniqueCount="63">
  <si>
    <t>WALT Analyse – Portefeuille JW (RAX 518)</t>
  </si>
  <si>
    <t>Peildatum: 6 maart 2026</t>
  </si>
  <si>
    <t>#</t>
  </si>
  <si>
    <t>Object</t>
  </si>
  <si>
    <t>Huurder</t>
  </si>
  <si>
    <t>Jaarhuur (€)</t>
  </si>
  <si>
    <t>Ingangsdatum</t>
  </si>
  <si>
    <t>Einddatum (firm)</t>
  </si>
  <si>
    <t>Resterende jaren</t>
  </si>
  <si>
    <t>Gewogen termijn</t>
  </si>
  <si>
    <t>Break/Verlenging</t>
  </si>
  <si>
    <t>Bron / Opmerkingen</t>
  </si>
  <si>
    <t>Ruysdaelstraat 50-56, Amsterdam (restaurant)</t>
  </si>
  <si>
    <t>Hendrik Amsterdam B.V.</t>
  </si>
  <si>
    <t>Daarna 5+5 jr verlenging</t>
  </si>
  <si>
    <t>HOVK d.d. 06-02-2025; 10 jr vast; huur €129.600/jr; Allonge nr.1 adreswijziging naar nr.50</t>
  </si>
  <si>
    <t>Ruysdaelstraat 48-parterre, Amsterdam (bedrijfsruimte)</t>
  </si>
  <si>
    <t>VOF AV Restaurants (Elysianne)</t>
  </si>
  <si>
    <t>Art. 7:290 BW; 5 jr vast, daarna 5+5 jr; 6 mnd opzeg (huurder)</t>
  </si>
  <si>
    <t>HOVK 01-09-2024 art 7:290; 5 jr vast t/m 31-08-2029; huur €3.719,64/mnd kale huur per 01-09-2025 (Hoen dossier 05-01-2026); jaarhuur €44.636 (12×€3.719,64); LET OP: achterstand €28.140 per 05-01-2026; dossier bij deurwaarder Payq sinds 19-05-2025; geen betalingen ontvangen sinds okt 2025</t>
  </si>
  <si>
    <t>Cornelis Schuystraat 12H, Amsterdam (winkel)</t>
  </si>
  <si>
    <t>Can't Do Without B.V.</t>
  </si>
  <si>
    <t>Art. 7:290 BW; 10 jr + 5+5 jr; huidige periode t/m 31-08-2028</t>
  </si>
  <si>
    <t>Huurlijst Hoen d.d. 17-11-2025; huurder Can't Do Without B.V.; kale huur €68.821/jr; start 01-09-2008; oorspr. einddatum 31-08-2018; doorlopend 5jr verlengingen; huidige periode t/m 31-08-2028; index 01-09-2026</t>
  </si>
  <si>
    <t>Radioweg 37-47, Almere (groepswoningen)</t>
  </si>
  <si>
    <t>Stichting Pluryn</t>
  </si>
  <si>
    <t>3 jr verlenging per Allonge 3</t>
  </si>
  <si>
    <t>HOVK 29-09-2020; oorspr. 5jr+2d; Allonge 3: verlengd 1-1-2026 t/m 31-12-2028; huur €32.062,50/mnd = €384.750/jr per 1-1-2026 ✓ bevestigd door Hoen dossier 05-01-2026; alle facturen betaald t/m jan 2026</t>
  </si>
  <si>
    <t>Radioweg 33, Almere (kantoorgebouw)</t>
  </si>
  <si>
    <t>3 jr verlenging per Allonge 2</t>
  </si>
  <si>
    <t>HOVK 28-12-2020; 5jr+3d t/m 31-12-2025; Allonge 1: opzeg per 31-12-2025; Allonge 2 (18-03-2025): verlengd 1-1-2026 t/m 31-12-2028; huurprijs €6.643,81/mnd per 1-1-2026 (Hoen dossier 05-01-2026); was €72k → gecorrigeerd naar €79.726 (12×€6.643,81)</t>
  </si>
  <si>
    <t>Radioweg 6, Almere (kantoor km 2.23+2.24+2.18)</t>
  </si>
  <si>
    <t>Thexton Armstrong Schulte (B.H. Schulte)</t>
  </si>
  <si>
    <t>rollerend</t>
  </si>
  <si>
    <t>1 jr + telkens 1 jr; 3 mnd opzegtermijn</t>
  </si>
  <si>
    <t>HOVK 01-06-2017 km2.23+2.24+2.18; 86m² @ €161,83/m²; huur €1.159,75/mnd excl BTW per 01-06-2025 (Hoen dossier 05-01-2026); was €10.480 → gecorrigeerd naar €13.917 (12×€1.159,75); rollerend 1jr+1jr; 3 mnd opzeg</t>
  </si>
  <si>
    <t>6b</t>
  </si>
  <si>
    <t>Radioweg 4, kamer 1.16, Almere (kantoor)</t>
  </si>
  <si>
    <t>Omega Groep B.V.</t>
  </si>
  <si>
    <t>HOVK 17-12-2024; Emmagroep → Omega Groep B.V.; 59m² 1e verd.; huur €5.316/jr (€443/mnd excl BTW); NB: Hoen dossier (debiteurcode 082379) toont unit 1.07a (23.7m²) @ €361,83/mnd kale huur + €199 SK = €620,72/mnd totaal; mogelijk 2 units of adresverwarring — verifiëren met Hoen</t>
  </si>
  <si>
    <t>Radioweg 2-6, Almere (overige units)</t>
  </si>
  <si>
    <t>Diverse huurders (uit credit proposal)</t>
  </si>
  <si>
    <t>n.b.</t>
  </si>
  <si>
    <t>Nader te bepalen; aanname 1 jr</t>
  </si>
  <si>
    <t>Credit proposal totaal Radioweg 2-6 = €172k; minus Thexton €13.917 (gecorrigeerd); minus Omega €5.316 = €152.767 resterend; geen overige HOKs aangeleverd</t>
  </si>
  <si>
    <t>Bachweg 125-183, Amersfoort (19 woningen)</t>
  </si>
  <si>
    <t>Diverse huurders (onbepaalde tijd)</t>
  </si>
  <si>
    <t>Onbepaalde tijd (woonruimte)</t>
  </si>
  <si>
    <t>Geen HOKs; huur €210k uit credit proposal; 19 units; gem. €11k/unit; uitpondstrategie; notioneel 3 jr restant (uitpond horizon)</t>
  </si>
  <si>
    <t>TOTAAL</t>
  </si>
  <si>
    <t>WALT (gewogen gemiddelde resterende looptijd)</t>
  </si>
  <si>
    <t>WALT (excl. rollerende/notionele contracten)</t>
  </si>
  <si>
    <t>Opmerkingen &amp; ontbrekende informatie:</t>
  </si>
  <si>
    <t>2. Geel gemarkeerde cellen = einddatum ontbreekt → vul aan uit huurovereenkomst/huurstaat.</t>
  </si>
  <si>
    <t>3. Ruysdaelstraat 48 (VOF AV Restaurants): jaarhuur gecorrigeerd naar €44.636 o.b.v. Hoen factuur jan 2026; ACHTERSTAND €28.140; deurwaarder ingeschakeld 19-05-2025.</t>
  </si>
  <si>
    <t>4. Cornelis Schuytstraat 12H: huurlijst Hoen d.d. 17-11-2025; Can't Do Without B.V.; art. 7:290; doorlopend 5jr verlenging; huidige periode t/m 31-08-2028.</t>
  </si>
  <si>
    <t>5. Radioweg 4 kamer 1.16 (Omega Groep): HOVK 17-12-2024 toont 59m² @ €5.316/jr; Hoen dossier toont unit 1.07a (23.7m²) — discrepantie verifiëren.</t>
  </si>
  <si>
    <t>6. Radioweg 2-6 overige huurders: residueel herberekend na correctie Thexton (€172k - €13.917 - €5.316 = €152.767).</t>
  </si>
  <si>
    <t>7. Bachweg woningen: onbepaalde tijd; notionele termijn 3 jr (uitpond horizon).</t>
  </si>
  <si>
    <t>8. Thexton (Radioweg 6): jaarhuur gecorrigeerd van €10.480 naar €13.917 o.b.v. Hoen dossier (86m² @ €161,83/m²; €1.159,75/mnd excl BTW).</t>
  </si>
  <si>
    <t>9. Radioweg 37-47 + 33 Pluryn: verlengd per Allonge t/m 31-12-2028; Radioweg 33 jaarhuur gecorrigeerd van €72k naar €79.726 (€6.643,81/mnd per 1-1-2026).</t>
  </si>
  <si>
    <t>10. Alle betalingshistories Pluryn (beide units) en Thexton tonen saldo €0 — betalingen volledig bijgewerkt t/m jan 2026.</t>
  </si>
  <si>
    <t>11. VOF AV Restaurants: — geen betalingen sinds okt 2025; deurwaarder Payq dossiernr 25201620; achterstand €28.140 per 05-01-2026.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</si>
</sst>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yyyy\-mm\-dd\ h:mm:ss"/>
    <numFmt numFmtId="166" formatCode="0.00&quot; jaar&quot;"/>
  </numFmts>
  <fonts count="18" x14ac:knownFonts="1">
    <font>
      <sz val="11"/>
      <color theme="1"/>
      <name val="Calibri"/>
      <family val="2"/>
      <charset val="1"/>
    </font>
    <font>
      <b/>
      <sz val="14"/>
      <color rgb="FF1B2A4A"/>
      <name val="Arial"/>
      <family val="2"/>
    </font>
    <font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666666"/>
      <name val="Arial"/>
      <family val="2"/>
    </font>
    <font>
      <sz val="11"/>
      <color rgb="FF0000FF"/>
      <name val="Cambria"/>
      <family val="1"/>
    </font>
    <font>
      <sz val="10"/>
      <color rgb="FFFF0000"/>
      <name val="Arial"/>
      <family val="2"/>
    </font>
    <font>
      <sz val="10"/>
      <color rgb="FF999999"/>
      <name val="Arial"/>
      <family val="2"/>
    </font>
    <font>
      <b/>
      <sz val="10"/>
      <name val="Arial"/>
      <family val="2"/>
    </font>
    <font>
      <b/>
      <sz val="11"/>
      <color rgb="FF1B2A4A"/>
      <name val="Arial"/>
      <family val="2"/>
    </font>
    <font>
      <b/>
      <sz val="10"/>
      <color rgb="FF666666"/>
      <name val="Arial"/>
      <family val="2"/>
    </font>
    <font>
      <b/>
      <sz val="11"/>
      <color rgb="FF666666"/>
      <name val="Arial"/>
      <family val="2"/>
    </font>
    <font>
      <b/>
      <sz val="10"/>
      <color rgb="FF1B2A4A"/>
      <name val="Arial"/>
      <family val="2"/>
    </font>
    <font>
      <sz val="9"/>
      <color rgb="FF555555"/>
      <name val="Arial"/>
      <family val="2"/>
    </font>
    <font>
      <b/>
      <sz val="11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6" fillId="0" borderId="0" xfId="0" applyFont="1" applyAlignment="1">
      <alignment wrapText="1"/>
    </xf>
    <xf numFmtId="0" fontId="15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2" fontId="6" fillId="0" borderId="1" xfId="0" applyNumberFormat="1" applyFont="1" applyBorder="1"/>
    <xf numFmtId="3" fontId="6" fillId="0" borderId="1" xfId="0" applyNumberFormat="1" applyFont="1" applyBorder="1"/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3" fontId="8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0" borderId="1" xfId="0" applyNumberFormat="1" applyFont="1" applyBorder="1"/>
    <xf numFmtId="2" fontId="9" fillId="0" borderId="1" xfId="0" applyNumberFormat="1" applyFont="1" applyBorder="1"/>
    <xf numFmtId="3" fontId="10" fillId="3" borderId="1" xfId="0" applyNumberFormat="1" applyFont="1" applyFill="1" applyBorder="1"/>
    <xf numFmtId="0" fontId="4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3" fontId="10" fillId="0" borderId="1" xfId="0" applyNumberFormat="1" applyFont="1" applyBorder="1"/>
    <xf numFmtId="3" fontId="5" fillId="3" borderId="1" xfId="0" applyNumberFormat="1" applyFont="1" applyFill="1" applyBorder="1"/>
    <xf numFmtId="2" fontId="6" fillId="3" borderId="1" xfId="0" applyNumberFormat="1" applyFont="1" applyFill="1" applyBorder="1"/>
    <xf numFmtId="3" fontId="6" fillId="3" borderId="1" xfId="0" applyNumberFormat="1" applyFont="1" applyFill="1" applyBorder="1"/>
    <xf numFmtId="3" fontId="8" fillId="0" borderId="1" xfId="0" applyNumberFormat="1" applyFont="1" applyBorder="1"/>
    <xf numFmtId="0" fontId="5" fillId="3" borderId="1" xfId="0" applyFont="1" applyFill="1" applyBorder="1"/>
    <xf numFmtId="2" fontId="9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165" fontId="5" fillId="0" borderId="0" xfId="0" applyNumberFormat="1" applyFont="1"/>
    <xf numFmtId="0" fontId="9" fillId="0" borderId="0" xfId="0" applyFont="1"/>
    <xf numFmtId="0" fontId="10" fillId="0" borderId="0" xfId="0" applyFont="1"/>
    <xf numFmtId="0" fontId="7" fillId="0" borderId="0" xfId="0" applyFont="1"/>
    <xf numFmtId="0" fontId="5" fillId="0" borderId="1" xfId="0" applyFont="1" applyBorder="1"/>
    <xf numFmtId="0" fontId="5" fillId="4" borderId="1" xfId="0" applyFont="1" applyFill="1" applyBorder="1"/>
    <xf numFmtId="2" fontId="9" fillId="4" borderId="1" xfId="0" applyNumberFormat="1" applyFont="1" applyFill="1" applyBorder="1"/>
    <xf numFmtId="0" fontId="0" fillId="0" borderId="2" xfId="0" applyBorder="1"/>
    <xf numFmtId="0" fontId="11" fillId="0" borderId="2" xfId="0" applyFont="1" applyBorder="1"/>
    <xf numFmtId="3" fontId="11" fillId="0" borderId="2" xfId="0" applyNumberFormat="1" applyFont="1" applyBorder="1"/>
    <xf numFmtId="0" fontId="12" fillId="0" borderId="0" xfId="0" applyFont="1"/>
    <xf numFmtId="166" fontId="1" fillId="5" borderId="3" xfId="0" applyNumberFormat="1" applyFont="1" applyFill="1" applyBorder="1"/>
    <xf numFmtId="0" fontId="13" fillId="0" borderId="0" xfId="0" applyFont="1"/>
    <xf numFmtId="166" fontId="14" fillId="0" borderId="0" xfId="0" applyNumberFormat="1" applyFont="1"/>
    <xf numFmtId="0" fontId="16" fillId="0" borderId="0" xfId="0" applyFont="1" applyAlignment="1">
      <alignment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8" zoomScaleNormal="100" workbookViewId="0">
      <selection activeCell="B28" sqref="B28:J28"/>
    </sheetView>
  </sheetViews>
  <sheetFormatPr defaultColWidth="8.7109375" defaultRowHeight="15" x14ac:dyDescent="0.25"/>
  <cols>
    <col min="1" max="1" width="8" customWidth="1"/>
    <col min="2" max="2" width="40" customWidth="1"/>
    <col min="3" max="3" width="22" customWidth="1"/>
    <col min="4" max="5" width="18" customWidth="1"/>
    <col min="6" max="6" width="20" customWidth="1"/>
    <col min="7" max="7" width="18" customWidth="1"/>
    <col min="8" max="8" width="22" customWidth="1"/>
    <col min="9" max="9" width="18" customWidth="1"/>
    <col min="10" max="10" width="22" customWidth="1"/>
    <col min="11" max="11" width="30" customWidth="1"/>
  </cols>
  <sheetData>
    <row r="1" spans="1:10" ht="17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spans="1:10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0" customHeight="1" x14ac:dyDescent="0.25">
      <c r="A5" s="6">
        <v>1</v>
      </c>
      <c r="B5" s="7" t="s">
        <v>12</v>
      </c>
      <c r="C5" s="7" t="s">
        <v>13</v>
      </c>
      <c r="D5" s="8">
        <v>129600</v>
      </c>
      <c r="E5" s="9">
        <v>45778</v>
      </c>
      <c r="F5" s="9">
        <v>49429</v>
      </c>
      <c r="G5" s="10">
        <f>MAX((F5-DATE(2026,3,6))/365.25,0)</f>
        <v>9.1498973305954827</v>
      </c>
      <c r="H5" s="11">
        <f t="shared" ref="H5:H13" si="0">D5*G5</f>
        <v>1185826.6940451746</v>
      </c>
      <c r="I5" s="12" t="s">
        <v>14</v>
      </c>
      <c r="J5" s="13" t="s">
        <v>15</v>
      </c>
    </row>
    <row r="6" spans="1:10" ht="30" customHeight="1" x14ac:dyDescent="0.25">
      <c r="A6" s="14">
        <v>2</v>
      </c>
      <c r="B6" s="15" t="s">
        <v>16</v>
      </c>
      <c r="C6" s="15" t="s">
        <v>17</v>
      </c>
      <c r="D6" s="16">
        <v>44636</v>
      </c>
      <c r="E6" s="17">
        <v>45536</v>
      </c>
      <c r="F6" s="18">
        <v>47361</v>
      </c>
      <c r="G6" s="19">
        <f>MAX((F6-DATE(2026,3,6))/365.25,0)</f>
        <v>3.4880219028062971</v>
      </c>
      <c r="H6" s="20">
        <f t="shared" si="0"/>
        <v>155691.34565366188</v>
      </c>
      <c r="I6" s="21" t="s">
        <v>18</v>
      </c>
      <c r="J6" s="22" t="s">
        <v>19</v>
      </c>
    </row>
    <row r="7" spans="1:10" ht="30" customHeight="1" x14ac:dyDescent="0.25">
      <c r="A7" s="6">
        <v>3</v>
      </c>
      <c r="B7" s="7" t="s">
        <v>20</v>
      </c>
      <c r="C7" s="7" t="s">
        <v>21</v>
      </c>
      <c r="D7" s="8">
        <v>68821</v>
      </c>
      <c r="E7" s="18">
        <v>39692</v>
      </c>
      <c r="F7" s="18">
        <v>46996</v>
      </c>
      <c r="G7" s="19">
        <f>MAX((F7-DATE(2026,3,6))/365.25,0)</f>
        <v>2.4887063655030799</v>
      </c>
      <c r="H7" s="23">
        <f t="shared" si="0"/>
        <v>171275.26078028747</v>
      </c>
      <c r="I7" s="12" t="s">
        <v>22</v>
      </c>
      <c r="J7" s="13" t="s">
        <v>23</v>
      </c>
    </row>
    <row r="8" spans="1:10" ht="30" customHeight="1" x14ac:dyDescent="0.25">
      <c r="A8" s="14">
        <v>4</v>
      </c>
      <c r="B8" s="15" t="s">
        <v>24</v>
      </c>
      <c r="C8" s="15" t="s">
        <v>25</v>
      </c>
      <c r="D8" s="24">
        <v>384750</v>
      </c>
      <c r="E8" s="17">
        <v>46023</v>
      </c>
      <c r="F8" s="17">
        <v>47118</v>
      </c>
      <c r="G8" s="25">
        <f>MAX((F8-DATE(2026,3,6))/365.25,0)</f>
        <v>2.8227241615331966</v>
      </c>
      <c r="H8" s="26">
        <f t="shared" si="0"/>
        <v>1086043.1211498973</v>
      </c>
      <c r="I8" s="21" t="s">
        <v>26</v>
      </c>
      <c r="J8" s="22" t="s">
        <v>27</v>
      </c>
    </row>
    <row r="9" spans="1:10" ht="30" customHeight="1" x14ac:dyDescent="0.25">
      <c r="A9" s="6">
        <v>5</v>
      </c>
      <c r="B9" s="7" t="s">
        <v>28</v>
      </c>
      <c r="C9" s="7" t="s">
        <v>25</v>
      </c>
      <c r="D9" s="27">
        <v>79726</v>
      </c>
      <c r="E9" s="9">
        <v>46023</v>
      </c>
      <c r="F9" s="9">
        <v>47118</v>
      </c>
      <c r="G9" s="10">
        <f>MAX((F9-DATE(2026,3,6))/365.25,0)</f>
        <v>2.8227241615331966</v>
      </c>
      <c r="H9" s="11">
        <f t="shared" si="0"/>
        <v>225044.50650239564</v>
      </c>
      <c r="I9" s="12" t="s">
        <v>29</v>
      </c>
      <c r="J9" s="13" t="s">
        <v>30</v>
      </c>
    </row>
    <row r="10" spans="1:10" ht="30" customHeight="1" x14ac:dyDescent="0.25">
      <c r="A10" s="14">
        <v>6</v>
      </c>
      <c r="B10" s="15" t="s">
        <v>31</v>
      </c>
      <c r="C10" s="15" t="s">
        <v>32</v>
      </c>
      <c r="D10" s="16">
        <v>13917</v>
      </c>
      <c r="E10" s="17">
        <v>42887</v>
      </c>
      <c r="F10" s="28" t="s">
        <v>33</v>
      </c>
      <c r="G10" s="29">
        <v>0.25</v>
      </c>
      <c r="H10" s="20">
        <f t="shared" si="0"/>
        <v>3479.25</v>
      </c>
      <c r="I10" s="21" t="s">
        <v>34</v>
      </c>
      <c r="J10" s="22" t="s">
        <v>35</v>
      </c>
    </row>
    <row r="11" spans="1:10" ht="30" customHeight="1" x14ac:dyDescent="0.25">
      <c r="A11" s="30" t="s">
        <v>36</v>
      </c>
      <c r="B11" s="30" t="s">
        <v>37</v>
      </c>
      <c r="C11" s="30" t="s">
        <v>38</v>
      </c>
      <c r="D11" s="31">
        <v>5316</v>
      </c>
      <c r="E11" s="32">
        <v>45658</v>
      </c>
      <c r="F11" s="31" t="s">
        <v>33</v>
      </c>
      <c r="G11" s="33">
        <v>0.25</v>
      </c>
      <c r="H11" s="34">
        <f t="shared" si="0"/>
        <v>1329</v>
      </c>
      <c r="I11" s="30" t="s">
        <v>34</v>
      </c>
      <c r="J11" s="35" t="s">
        <v>39</v>
      </c>
    </row>
    <row r="12" spans="1:10" ht="30" customHeight="1" x14ac:dyDescent="0.25">
      <c r="A12" s="6">
        <v>7</v>
      </c>
      <c r="B12" s="7" t="s">
        <v>40</v>
      </c>
      <c r="C12" s="7" t="s">
        <v>41</v>
      </c>
      <c r="D12" s="27">
        <v>152767</v>
      </c>
      <c r="E12" s="36" t="s">
        <v>42</v>
      </c>
      <c r="F12" s="37" t="s">
        <v>42</v>
      </c>
      <c r="G12" s="38">
        <v>1</v>
      </c>
      <c r="H12" s="23">
        <f t="shared" si="0"/>
        <v>152767</v>
      </c>
      <c r="I12" s="12" t="s">
        <v>43</v>
      </c>
      <c r="J12" s="13" t="s">
        <v>44</v>
      </c>
    </row>
    <row r="13" spans="1:10" ht="53.25" customHeight="1" x14ac:dyDescent="0.25">
      <c r="A13" s="14">
        <v>8</v>
      </c>
      <c r="B13" s="15" t="s">
        <v>45</v>
      </c>
      <c r="C13" s="15" t="s">
        <v>46</v>
      </c>
      <c r="D13" s="24">
        <v>210000</v>
      </c>
      <c r="E13" s="28" t="s">
        <v>42</v>
      </c>
      <c r="F13" s="28" t="s">
        <v>42</v>
      </c>
      <c r="G13" s="29">
        <v>3</v>
      </c>
      <c r="H13" s="20">
        <f t="shared" si="0"/>
        <v>630000</v>
      </c>
      <c r="I13" s="21" t="s">
        <v>47</v>
      </c>
      <c r="J13" s="22" t="s">
        <v>48</v>
      </c>
    </row>
    <row r="14" spans="1:10" ht="15" customHeight="1" x14ac:dyDescent="0.25"/>
    <row r="15" spans="1:10" ht="15" customHeight="1" x14ac:dyDescent="0.25">
      <c r="A15" s="39"/>
      <c r="B15" s="40" t="s">
        <v>49</v>
      </c>
      <c r="C15" s="39"/>
      <c r="D15" s="41">
        <f>SUM(D5:D13)</f>
        <v>1089533</v>
      </c>
      <c r="E15" s="39"/>
      <c r="F15" s="39"/>
      <c r="G15" s="39"/>
      <c r="H15" s="41">
        <f>SUM(H5:H13)</f>
        <v>3611456.1781314164</v>
      </c>
      <c r="I15" s="39"/>
      <c r="J15" s="39"/>
    </row>
    <row r="16" spans="1:10" ht="17.25" customHeight="1" x14ac:dyDescent="0.25"/>
    <row r="17" spans="2:10" ht="15" customHeight="1" x14ac:dyDescent="0.25">
      <c r="B17" s="42" t="s">
        <v>50</v>
      </c>
      <c r="D17" s="43">
        <f>H15/D15</f>
        <v>3.3146826926136392</v>
      </c>
    </row>
    <row r="18" spans="2:10" ht="15" customHeight="1" x14ac:dyDescent="0.25">
      <c r="B18" s="44" t="s">
        <v>51</v>
      </c>
      <c r="D18" s="45">
        <f>(H5+H6+H7+H8+H9)/(D5+D6+D7+D8+D9)</f>
        <v>3.9911649748229645</v>
      </c>
    </row>
    <row r="20" spans="2:10" ht="15" customHeight="1" x14ac:dyDescent="0.25"/>
    <row r="21" spans="2:10" ht="15" customHeight="1" x14ac:dyDescent="0.25">
      <c r="B21" s="2" t="s">
        <v>52</v>
      </c>
      <c r="C21" s="2"/>
      <c r="D21" s="2"/>
      <c r="E21" s="2"/>
      <c r="F21" s="2"/>
      <c r="G21" s="2"/>
      <c r="H21" s="2"/>
      <c r="I21" s="2"/>
      <c r="J21" s="2"/>
    </row>
    <row r="22" spans="2:10" ht="15" customHeight="1" x14ac:dyDescent="0.25">
      <c r="B22" s="1" t="s">
        <v>53</v>
      </c>
      <c r="C22" s="1"/>
      <c r="D22" s="1"/>
      <c r="E22" s="1"/>
      <c r="F22" s="1"/>
      <c r="G22" s="1"/>
      <c r="H22" s="1"/>
      <c r="I22" s="1"/>
      <c r="J22" s="1"/>
    </row>
    <row r="23" spans="2:10" ht="15" customHeight="1" x14ac:dyDescent="0.25">
      <c r="B23" s="1" t="s">
        <v>54</v>
      </c>
      <c r="C23" s="1"/>
      <c r="D23" s="1"/>
      <c r="E23" s="1"/>
      <c r="F23" s="1"/>
      <c r="G23" s="1"/>
      <c r="H23" s="1"/>
      <c r="I23" s="1"/>
      <c r="J23" s="1"/>
    </row>
    <row r="24" spans="2:10" ht="15" customHeight="1" x14ac:dyDescent="0.25">
      <c r="B24" s="1" t="s">
        <v>55</v>
      </c>
      <c r="C24" s="1"/>
      <c r="D24" s="1"/>
      <c r="E24" s="1"/>
      <c r="F24" s="1"/>
      <c r="G24" s="1"/>
      <c r="H24" s="1"/>
      <c r="I24" s="1"/>
      <c r="J24" s="1"/>
    </row>
    <row r="25" spans="2:10" ht="15" customHeight="1" x14ac:dyDescent="0.25">
      <c r="B25" s="1" t="s">
        <v>56</v>
      </c>
      <c r="C25" s="1"/>
      <c r="D25" s="1"/>
      <c r="E25" s="1"/>
      <c r="F25" s="1"/>
      <c r="G25" s="1"/>
      <c r="H25" s="1"/>
      <c r="I25" s="1"/>
      <c r="J25" s="1"/>
    </row>
    <row r="26" spans="2:10" ht="15" customHeight="1" x14ac:dyDescent="0.25">
      <c r="B26" s="1" t="s">
        <v>57</v>
      </c>
      <c r="C26" s="1"/>
      <c r="D26" s="1"/>
      <c r="E26" s="1"/>
      <c r="F26" s="1"/>
      <c r="G26" s="1"/>
      <c r="H26" s="1"/>
      <c r="I26" s="1"/>
      <c r="J26" s="1"/>
    </row>
    <row r="27" spans="2:10" ht="15" customHeight="1" x14ac:dyDescent="0.25">
      <c r="B27" s="1" t="s">
        <v>58</v>
      </c>
      <c r="C27" s="1"/>
      <c r="D27" s="1"/>
      <c r="E27" s="1"/>
      <c r="F27" s="1"/>
      <c r="G27" s="1"/>
      <c r="H27" s="1"/>
      <c r="I27" s="1"/>
      <c r="J27" s="1"/>
    </row>
    <row r="28" spans="2:10" ht="15" customHeight="1" x14ac:dyDescent="0.25">
      <c r="B28" s="1" t="s">
        <v>59</v>
      </c>
      <c r="C28" s="1"/>
      <c r="D28" s="1"/>
      <c r="E28" s="1"/>
      <c r="F28" s="1"/>
      <c r="G28" s="1"/>
      <c r="H28" s="1"/>
      <c r="I28" s="1"/>
      <c r="J28" s="1"/>
    </row>
    <row r="29" spans="2:10" ht="15" customHeight="1" x14ac:dyDescent="0.25">
      <c r="B29" s="1" t="s">
        <v>60</v>
      </c>
      <c r="C29" s="1"/>
      <c r="D29" s="1"/>
      <c r="E29" s="1"/>
      <c r="F29" s="1"/>
      <c r="G29" s="1"/>
      <c r="H29" s="1"/>
      <c r="I29" s="1"/>
      <c r="J29" s="1"/>
    </row>
    <row r="30" spans="2:10" ht="32.25" customHeight="1" x14ac:dyDescent="0.25">
      <c r="B30" s="46" t="s">
        <v>61</v>
      </c>
    </row>
    <row r="31" spans="2:10" x14ac:dyDescent="0.25">
      <c r="B31" s="47" t="s">
        <v>62</v>
      </c>
    </row>
  </sheetData>
  <mergeCells count="11">
    <mergeCell ref="B29:J29"/>
    <mergeCell ref="B24:J24"/>
    <mergeCell ref="B25:J25"/>
    <mergeCell ref="B26:J26"/>
    <mergeCell ref="B27:J27"/>
    <mergeCell ref="B28:J28"/>
    <mergeCell ref="A1:J1"/>
    <mergeCell ref="A2:J2"/>
    <mergeCell ref="B21:J21"/>
    <mergeCell ref="B22:J22"/>
    <mergeCell ref="B23:J23"/>
  </mergeCells>
  <pageMargins left="0.75" right="0.75" top="1" bottom="1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83d4f6-7614-4ae5-9e1a-5e2b0a5ec009" xsi:nil="true"/>
    <lcf76f155ced4ddcb4097134ff3c332f xmlns="a91e38dd-2803-4a7e-9f77-b5b453adaa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DF2BDE47E0440B0329048DF9AA539" ma:contentTypeVersion="18" ma:contentTypeDescription="Create a new document." ma:contentTypeScope="" ma:versionID="2cf9410a106f4db090e978d99ebbc139">
  <xsd:schema xmlns:xsd="http://www.w3.org/2001/XMLSchema" xmlns:xs="http://www.w3.org/2001/XMLSchema" xmlns:p="http://schemas.microsoft.com/office/2006/metadata/properties" xmlns:ns2="a91e38dd-2803-4a7e-9f77-b5b453adaa3a" xmlns:ns3="8783d4f6-7614-4ae5-9e1a-5e2b0a5ec009" targetNamespace="http://schemas.microsoft.com/office/2006/metadata/properties" ma:root="true" ma:fieldsID="16517bf6664d137f190733b849c1436b" ns2:_="" ns3:_="">
    <xsd:import namespace="a91e38dd-2803-4a7e-9f77-b5b453adaa3a"/>
    <xsd:import namespace="8783d4f6-7614-4ae5-9e1a-5e2b0a5ec0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e38dd-2803-4a7e-9f77-b5b453adaa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557024-b14b-4d2d-a906-705aef3d5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3d4f6-7614-4ae5-9e1a-5e2b0a5ec0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c1a289f-e8d1-4ce9-a72c-9b8f208b7426}" ma:internalName="TaxCatchAll" ma:showField="CatchAllData" ma:web="8783d4f6-7614-4ae5-9e1a-5e2b0a5ec0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6DA735-2125-4C26-B651-B2222D5B6FB3}">
  <ds:schemaRefs>
    <ds:schemaRef ds:uri="http://schemas.microsoft.com/office/2006/metadata/properties"/>
    <ds:schemaRef ds:uri="http://schemas.microsoft.com/office/infopath/2007/PartnerControls"/>
    <ds:schemaRef ds:uri="8783d4f6-7614-4ae5-9e1a-5e2b0a5ec009"/>
    <ds:schemaRef ds:uri="a91e38dd-2803-4a7e-9f77-b5b453adaa3a"/>
  </ds:schemaRefs>
</ds:datastoreItem>
</file>

<file path=customXml/itemProps2.xml><?xml version="1.0" encoding="utf-8"?>
<ds:datastoreItem xmlns:ds="http://schemas.openxmlformats.org/officeDocument/2006/customXml" ds:itemID="{94D35726-0727-4FF8-8F55-54930DDB8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69A125-F172-4BA9-AC43-0D2A78760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1e38dd-2803-4a7e-9f77-b5b453adaa3a"/>
    <ds:schemaRef ds:uri="8783d4f6-7614-4ae5-9e1a-5e2b0a5ec0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WALT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Joel Liew</cp:lastModifiedBy>
  <cp:revision>0</cp:revision>
  <dcterms:created xsi:type="dcterms:W3CDTF">2026-03-06T11:04:36Z</dcterms:created>
  <dcterms:modified xsi:type="dcterms:W3CDTF">2026-03-06T11:23:30Z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0x01010036ADF2BDE47E0440B0329048DF9AA539</vt:lpwstr>
  </property>
  <property fmtid="{D5CDD505-2E9C-101B-9397-08002B2CF9AE}" pid="3" name="MediaServiceImageTags">
    <vt:lpwstr/>
  </property>
</Properties>
</file>