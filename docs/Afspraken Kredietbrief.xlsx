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raxinvest.sharepoint.com/sites/SharepointSite-RaxFinance/Gedeelde documenten/Leningen/Zekerhedenregister/"/>
    </mc:Choice>
  </mc:AlternateContent>
  <xr:revisionPtr revIDLastSave="1347" documentId="13_ncr:1_{A67874E7-7CBD-B444-A033-365C5845B1D5}" xr6:coauthVersionLast="47" xr6:coauthVersionMax="47" xr10:uidLastSave="{F0C54070-D709-BF48-8EB1-A3235502F1D3}"/>
  <bookViews>
    <workbookView xWindow="21680" yWindow="500" windowWidth="29360" windowHeight="26460" activeTab="3" xr2:uid="{7B58A63A-6AD0-104C-8958-9BD438C019DE}"/>
  </bookViews>
  <sheets>
    <sheet name="Afspraken 2025" sheetId="1" state="hidden" r:id="rId1"/>
    <sheet name="Taxaties 2026" sheetId="3" r:id="rId2"/>
    <sheet name="Polis 2026" sheetId="7" r:id="rId3"/>
    <sheet name="Huurlijsten 2026" sheetId="5" r:id="rId4"/>
    <sheet name="Jaarrekening 2026" sheetId="4" r:id="rId5"/>
    <sheet name="Add. beeindigingsgronden" sheetId="6" r:id="rId6"/>
    <sheet name="Grub check 2026" sheetId="8" r:id="rId7"/>
    <sheet name="Lijst (bijhouden)" sheetId="2" state="hidden" r:id="rId8"/>
  </sheets>
  <definedNames>
    <definedName name="_xlnm._FilterDatabase" localSheetId="0" hidden="1">'Afspraken 2025'!$A$1:$P$92</definedName>
    <definedName name="_xlnm._FilterDatabase" localSheetId="6" hidden="1">'Grub check 2026'!$A$1:$J$49</definedName>
    <definedName name="_xlnm._FilterDatabase" localSheetId="3" hidden="1">'Huurlijsten 2026'!$A$1:$O$20</definedName>
    <definedName name="_xlnm._FilterDatabase" localSheetId="2" hidden="1">'Polis 2026'!$A$1:$H$50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2" i="5" l="1"/>
  <c r="J17" i="5"/>
  <c r="J19" i="5"/>
  <c r="J6" i="5"/>
  <c r="J3" i="5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tc={AEA9C29A-24E9-B444-B072-0D12D532A11D}</author>
  </authors>
  <commentList>
    <comment ref="N1" authorId="0" shapeId="0" xr:uid="{AEA9C29A-24E9-B444-B072-0D12D532A11D}">
      <text>
        <t>[Opmerkingenthread]
U kunt deze opmerkingenthread lezen in uw versie van Excel. Eventuele wijzigingen aan de thread gaan echter verloren als het bestand wordt geopend in een nieuwere versie van Excel. Meer informatie: https://go.microsoft.com/fwlink/?linkid=870924
Opmerking:
    Navragen of er vernieuwingen zijn? Zo ja, dan kopie polis opsturen.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tc={CA67141B-31BC-1649-A50C-A6758C11677A}</author>
    <author>tc={8CD3786C-C02C-884A-A73B-4DF4951C33AE}</author>
  </authors>
  <commentList>
    <comment ref="B3" authorId="0" shapeId="0" xr:uid="{CA67141B-31BC-1649-A50C-A6758C11677A}">
      <text>
        <t>[Opmerkingenthread]
U kunt deze opmerkingenthread lezen in uw versie van Excel. Eventuele wijzigingen aan de thread gaan echter verloren als het bestand wordt geopend in een nieuwere versie van Excel. Meer informatie: https://go.microsoft.com/fwlink/?linkid=870924
Opmerking:
    Moeten nu binnen zijn?</t>
      </text>
    </comment>
    <comment ref="B25" authorId="1" shapeId="0" xr:uid="{8CD3786C-C02C-884A-A73B-4DF4951C33AE}">
      <text>
        <t>[Opmerkingenthread]
U kunt deze opmerkingenthread lezen in uw versie van Excel. Eventuele wijzigingen aan de thread gaan echter verloren als het bestand wordt geopend in een nieuwere versie van Excel. Meer informatie: https://go.microsoft.com/fwlink/?linkid=870924
Opmerking:
    Check na verlenging; datum nog aanpassen</t>
      </text>
    </comment>
  </commentList>
</comments>
</file>

<file path=xl/sharedStrings.xml><?xml version="1.0" encoding="utf-8"?>
<sst xmlns="http://schemas.openxmlformats.org/spreadsheetml/2006/main" count="1122" uniqueCount="395">
  <si>
    <t>Loan ID</t>
  </si>
  <si>
    <t>Verzekering</t>
  </si>
  <si>
    <t>Jaarcijfers</t>
  </si>
  <si>
    <t>Ontvangen?</t>
  </si>
  <si>
    <t>Huurlijst</t>
  </si>
  <si>
    <t>Taxatie</t>
  </si>
  <si>
    <t>Jaarlijks</t>
  </si>
  <si>
    <t>Looptijd</t>
  </si>
  <si>
    <t>Leningnemer</t>
  </si>
  <si>
    <t>RAX390RED</t>
  </si>
  <si>
    <t>HERMON Heritage Holding BV
Oudenoord Herontwikkeling BV</t>
  </si>
  <si>
    <t>RAX415RED</t>
  </si>
  <si>
    <t>Polderstaete BV</t>
  </si>
  <si>
    <t>RAX418BRED</t>
  </si>
  <si>
    <t>Beleggingsmaatschappij Amsterdam Noord BV_x000D_
De Berg Vastgoed BV</t>
  </si>
  <si>
    <t>RAX420RED</t>
  </si>
  <si>
    <t>Bahl Vastgoed BV</t>
  </si>
  <si>
    <t>RAX423RED</t>
  </si>
  <si>
    <t>Two Lanes BV</t>
  </si>
  <si>
    <t>RAX426RED</t>
  </si>
  <si>
    <t>JeLo Vastgoed BV</t>
  </si>
  <si>
    <t>RAX427RED</t>
  </si>
  <si>
    <t>Galgenwaard Development BV</t>
  </si>
  <si>
    <t>RAX430RED</t>
  </si>
  <si>
    <t>Steenvlinder Zelfbouw 17 BV</t>
  </si>
  <si>
    <t>RAX431RED</t>
  </si>
  <si>
    <t>Exploitatiemaatschappij Family Beef BV</t>
  </si>
  <si>
    <t>RAX435RED</t>
  </si>
  <si>
    <t>W.H. Koster_x000D_
S. Delewi</t>
  </si>
  <si>
    <t>RAX436RED</t>
  </si>
  <si>
    <t>Mercatum Gravitax BV</t>
  </si>
  <si>
    <t>RAX437RED</t>
  </si>
  <si>
    <t>TBH Exploitatie BV_x000D_
CLR Onroerend Goed BV_x000D_
CLR Amsterdam BV</t>
  </si>
  <si>
    <t>RAX439RED</t>
  </si>
  <si>
    <t>Beleggingsmaatschappij Zomerstad BV</t>
  </si>
  <si>
    <t>RAX440RED</t>
  </si>
  <si>
    <t>MRP SDK BV</t>
  </si>
  <si>
    <t>RAX444RED</t>
  </si>
  <si>
    <t>Leusden Holdings B.V._x000D_
Leusden Holdings C.V.</t>
  </si>
  <si>
    <t>RAX446RED</t>
  </si>
  <si>
    <t>RAX447RED</t>
  </si>
  <si>
    <t>Aloysius Beheer BV_x000D_
Marga Holding BV</t>
  </si>
  <si>
    <t>RAX449RED</t>
  </si>
  <si>
    <t>Alblasserdam Yachtbuilding Construction B.V.</t>
  </si>
  <si>
    <t>RAX450RED</t>
  </si>
  <si>
    <t>By the River BV_x000D_
O. ben Yakir</t>
  </si>
  <si>
    <t>RAX452RED</t>
  </si>
  <si>
    <t>IHS Prime Retail I BV_x000D_
IHS Prime Retail II BV</t>
  </si>
  <si>
    <t>RAX455RED</t>
  </si>
  <si>
    <t>D.I. (Daniel) Investments B.V._x000D_
Beneluxlaan 9 Properties C.V.</t>
  </si>
  <si>
    <t>RAX456RED</t>
  </si>
  <si>
    <t>Veronese Vastgoed BV</t>
  </si>
  <si>
    <t>RAX459RED</t>
  </si>
  <si>
    <t>Necron Development III BVFlevokust Distribution Center BV</t>
  </si>
  <si>
    <t>RAX460RED</t>
  </si>
  <si>
    <t>Ridderduin Investments BV</t>
  </si>
  <si>
    <t>RAX462RED</t>
  </si>
  <si>
    <t>RAX464RED</t>
  </si>
  <si>
    <t>Van der Wiel Vastgoed 2 BV_x000D_
BGW Vastgoed 2 BV</t>
  </si>
  <si>
    <t>RAX471RED</t>
  </si>
  <si>
    <t>Solidiam NV</t>
  </si>
  <si>
    <t>RAX472RED</t>
  </si>
  <si>
    <t>Kess Corporation NV_x000D_
Two Lanes BV</t>
  </si>
  <si>
    <t>RAX473RED</t>
  </si>
  <si>
    <t>Hotel De Vigilante Vastgoed BV</t>
  </si>
  <si>
    <t>RAX474RED</t>
  </si>
  <si>
    <t>De heer F.J. Botman</t>
  </si>
  <si>
    <t>RAX475RED</t>
  </si>
  <si>
    <t>Lekkerkerker O/G Benschop BV</t>
  </si>
  <si>
    <t>RAX476RED</t>
  </si>
  <si>
    <t>De Jong en Zonen BV</t>
  </si>
  <si>
    <t>RAX477RED</t>
  </si>
  <si>
    <t>Zooverheid BV</t>
  </si>
  <si>
    <t>Q1</t>
  </si>
  <si>
    <t>Q2</t>
  </si>
  <si>
    <t>Q3</t>
  </si>
  <si>
    <t>Q4</t>
  </si>
  <si>
    <t>Datum notificatie (2 weken ervoor)</t>
  </si>
  <si>
    <t>Binnen 180 dagen na einde boekjaar</t>
  </si>
  <si>
    <t>Na twee jaar startdatum</t>
  </si>
  <si>
    <t>Ieder jaar</t>
  </si>
  <si>
    <t>Binnen 240 dagen na einde boekjaar</t>
  </si>
  <si>
    <t>Iedere 2 jaar</t>
  </si>
  <si>
    <t>Datum notificatie</t>
  </si>
  <si>
    <t>ook voor RAX 466 (Arnhem Vijzelstraat 25)</t>
  </si>
  <si>
    <t>Uiterlijk op 1 juni 2025</t>
  </si>
  <si>
    <t>RAX486RED</t>
  </si>
  <si>
    <t>RAX487RED</t>
  </si>
  <si>
    <t>RAX488RED</t>
  </si>
  <si>
    <t>RAX490RED</t>
  </si>
  <si>
    <t>RAX491RED</t>
  </si>
  <si>
    <t>RAX492RED</t>
  </si>
  <si>
    <t>RAX495RED</t>
  </si>
  <si>
    <t>FMC Amsterdam BV (AWC)</t>
  </si>
  <si>
    <t>IntoSpace 4 BV / Holding</t>
  </si>
  <si>
    <t>Uiterlijk op 01-05-2026</t>
  </si>
  <si>
    <t>IntoSpace 19 BV / IntoSpace 39 BV</t>
  </si>
  <si>
    <t>MWPO Holding BV / Basecamp One BV</t>
  </si>
  <si>
    <t>Weerdje 1 BV / Senior Living Holding BV</t>
  </si>
  <si>
    <t>VOL Bouwprojecten BV</t>
  </si>
  <si>
    <t>Share Garages BV (Bert de Niet)</t>
  </si>
  <si>
    <t>Schoutenwerf BV / 
Schoutenhaven BV</t>
  </si>
  <si>
    <t>RAX458DOV</t>
  </si>
  <si>
    <t>ABC Plantontwikkeling BV / Sluisbuurt</t>
  </si>
  <si>
    <t>Binnen 365 dagen na einde boekjaar</t>
  </si>
  <si>
    <t>RAX465DOV</t>
  </si>
  <si>
    <t>Blakeburg BV / Holding</t>
  </si>
  <si>
    <t>Na 18 maanden closing</t>
  </si>
  <si>
    <t>RAX478DOV</t>
  </si>
  <si>
    <t>J. Drechsel</t>
  </si>
  <si>
    <t>Ja</t>
  </si>
  <si>
    <t>Martijn</t>
  </si>
  <si>
    <t>Opvragen</t>
  </si>
  <si>
    <t>Opvragen (Yannick opvragen)</t>
  </si>
  <si>
    <t>Opvragen + mail jessica</t>
  </si>
  <si>
    <t>Opvragen (BriQ / update vorige taxatie)</t>
  </si>
  <si>
    <t>Opvragen!!!</t>
  </si>
  <si>
    <t>Ontvangen</t>
  </si>
  <si>
    <t>anderhalve maand van tevoren.</t>
  </si>
  <si>
    <t xml:space="preserve">Voeg andere afspraken toe; neem elke kredietbrief door (inclusief aflossingsafspraken etc). </t>
  </si>
  <si>
    <t>W.H. Koster
S. Delewi</t>
  </si>
  <si>
    <t>Leusden Holdings B.V.
Leusden Holdings C.V.</t>
  </si>
  <si>
    <t>By the River BV
O. ben Yakir</t>
  </si>
  <si>
    <t>IHS Prime Retail I BV
IHS Prime Retail II BV</t>
  </si>
  <si>
    <t>D.I. (Daniel) Investments B.V.
Beneluxlaan 9 Properties C.V.</t>
  </si>
  <si>
    <t>Van der Wiel Vastgoed 2 BV
BGW Vastgoed 2 BV</t>
  </si>
  <si>
    <t>Kess Corporation NV
Two Lanes BV</t>
  </si>
  <si>
    <t>Polderstaete BV (Cruquius)</t>
  </si>
  <si>
    <t>Datum notificatie (2 maanden voor afgesproken datum)</t>
  </si>
  <si>
    <t>Looptijd (tot)</t>
  </si>
  <si>
    <t>RAX496RED</t>
  </si>
  <si>
    <t>RAX498RED</t>
  </si>
  <si>
    <t>RAX500RED</t>
  </si>
  <si>
    <t>RAX501RED</t>
  </si>
  <si>
    <t>RAX505RED</t>
  </si>
  <si>
    <t>ABC Plantontwikkeling BV / Arnhem station</t>
  </si>
  <si>
    <t xml:space="preserve">Beverwijk Warande / Bert de Niet </t>
  </si>
  <si>
    <t>Van Tiggelen / Amsterdam</t>
  </si>
  <si>
    <t>Van Suijdam / Bantammertammerstraat</t>
  </si>
  <si>
    <t>Feike / Den Dolder</t>
  </si>
  <si>
    <t xml:space="preserve">Schoutenwerf BV / Schoutenhaven BV
</t>
  </si>
  <si>
    <t>RAX479RED</t>
  </si>
  <si>
    <t>Vught</t>
  </si>
  <si>
    <t>Nieuwe kredietbrief checken en datum invullen; taxatie ontvangen</t>
  </si>
  <si>
    <t>Ontvangen - zie map</t>
  </si>
  <si>
    <t>01-07-2026 (verlengd; check of dit nodig is)</t>
  </si>
  <si>
    <t>Taxatie na twee jaar startdatum ontvangen</t>
  </si>
  <si>
    <t>RAX488 - reliance taxatie nog ontvangen</t>
  </si>
  <si>
    <t>Moet getaxeerd zijn voor 13-06-2026</t>
  </si>
  <si>
    <t>RAX505REDIV</t>
  </si>
  <si>
    <t>Comments</t>
  </si>
  <si>
    <t>Mail</t>
  </si>
  <si>
    <t>linda@polderstaete.com</t>
  </si>
  <si>
    <t>floris@propertypartners.nl</t>
  </si>
  <si>
    <t>leon.blokland@oceanco.nl</t>
  </si>
  <si>
    <t>vanhoof@ihscapital.nl</t>
  </si>
  <si>
    <t>Ton.Donders@ridderduin.nl</t>
  </si>
  <si>
    <t>Rita@stadium.capital</t>
  </si>
  <si>
    <t>t.vandijk@mwpo.nl</t>
  </si>
  <si>
    <t>fbrouwer@thesharegroup.eu</t>
  </si>
  <si>
    <t>bytheamstel@gmail.com</t>
  </si>
  <si>
    <t>m.verhoeven@vanderwielbouw.nl</t>
  </si>
  <si>
    <t>1 jaar uitstel gegeven; aanleveren juni 2026</t>
  </si>
  <si>
    <t>x</t>
  </si>
  <si>
    <t>remmert@bakkers-hommen.nl</t>
  </si>
  <si>
    <t>RAX507RED</t>
  </si>
  <si>
    <t>Bakkers | Hommen</t>
  </si>
  <si>
    <t>mtastan@tasfin.nl</t>
  </si>
  <si>
    <t>RAX504RED</t>
  </si>
  <si>
    <t>HEMA Den Bosch</t>
  </si>
  <si>
    <t>Weten we opzich; update allonge wel vragen</t>
  </si>
  <si>
    <t>RAX504REDIV</t>
  </si>
  <si>
    <t>Tastan / HEMA</t>
  </si>
  <si>
    <t>RAX493REDIV</t>
  </si>
  <si>
    <t>Inproba / Baarn</t>
  </si>
  <si>
    <t>Duco.PelsRijcken@vepartners.com</t>
  </si>
  <si>
    <t>RAX493RED</t>
  </si>
  <si>
    <t>Afspraak</t>
  </si>
  <si>
    <t>Voldoet?</t>
  </si>
  <si>
    <t>Enkel van toepassing indien niet verhuurd aan Inproba</t>
  </si>
  <si>
    <t>Reminder sturen op:</t>
  </si>
  <si>
    <t xml:space="preserve">2024 jaarrekening </t>
  </si>
  <si>
    <t>2025 jaarrekening</t>
  </si>
  <si>
    <t>2026 jaarrekening</t>
  </si>
  <si>
    <t>EBITDA 31-12-2026 niet lager dan €1.5m</t>
  </si>
  <si>
    <t>EBITDA 31-12-2027 niet lager dan €2.5m</t>
  </si>
  <si>
    <t>RAX509RED</t>
  </si>
  <si>
    <t>Rosestraat / Ritchie</t>
  </si>
  <si>
    <t>ritchie@yycreativecapital.com</t>
  </si>
  <si>
    <t>Iedere 6 maanden; voor het eerst na Q1 2026</t>
  </si>
  <si>
    <t>RAX390RED --&gt; RAX484</t>
  </si>
  <si>
    <t>Te ontvangen op (uiterlijk)?</t>
  </si>
  <si>
    <t>Hermon</t>
  </si>
  <si>
    <t>Polderstaete</t>
  </si>
  <si>
    <t>Ferdinand Bol</t>
  </si>
  <si>
    <t>De MIX</t>
  </si>
  <si>
    <t>Leusden</t>
  </si>
  <si>
    <t>ERED</t>
  </si>
  <si>
    <t>Oceanco</t>
  </si>
  <si>
    <t>Utrecht</t>
  </si>
  <si>
    <t>ABC / Patchwork</t>
  </si>
  <si>
    <t>Voor 31-12-2026</t>
  </si>
  <si>
    <t>Ridderduin</t>
  </si>
  <si>
    <t>V/d Wiel</t>
  </si>
  <si>
    <t>nvt</t>
  </si>
  <si>
    <t>Blakeburg</t>
  </si>
  <si>
    <t>Lopik</t>
  </si>
  <si>
    <t>Lopik (oud)</t>
  </si>
  <si>
    <t>RAX482RED</t>
  </si>
  <si>
    <t>Necron</t>
  </si>
  <si>
    <t>Intospace 4</t>
  </si>
  <si>
    <t>Intospace 19</t>
  </si>
  <si>
    <t>Parkflat Stadsfenne Holding BV &amp; Parkflat Stadsfenne BV</t>
  </si>
  <si>
    <t>Weerdje 1</t>
  </si>
  <si>
    <t>De Halm</t>
  </si>
  <si>
    <t>VOL / Suijdam</t>
  </si>
  <si>
    <t>B. de Niet / Garages</t>
  </si>
  <si>
    <t>B. de Niet / Beverwijk</t>
  </si>
  <si>
    <t>Den Dolder</t>
  </si>
  <si>
    <t>Rosestraat</t>
  </si>
  <si>
    <t>RAX514RED</t>
  </si>
  <si>
    <t>deschakerholding@gmail.com</t>
  </si>
  <si>
    <t>Meeuwenlaan / Michiel &amp; Tyson</t>
  </si>
  <si>
    <t>Meeuwenlaan</t>
  </si>
  <si>
    <t>RAX510RED</t>
  </si>
  <si>
    <t>Cruquius</t>
  </si>
  <si>
    <t>Amsterdam</t>
  </si>
  <si>
    <t>Amsterdam Duivendrecht</t>
  </si>
  <si>
    <t>Epe</t>
  </si>
  <si>
    <t>Zwijndrecht</t>
  </si>
  <si>
    <t>Uithoorn</t>
  </si>
  <si>
    <t>Arnhem</t>
  </si>
  <si>
    <t>Zwolle</t>
  </si>
  <si>
    <t>Noordwijk</t>
  </si>
  <si>
    <t>Aalsmeer</t>
  </si>
  <si>
    <t>Zoetermeer</t>
  </si>
  <si>
    <t>488B</t>
  </si>
  <si>
    <t>Lelystad</t>
  </si>
  <si>
    <t>Doetinchem</t>
  </si>
  <si>
    <t>Groningen</t>
  </si>
  <si>
    <t>Beverwijk</t>
  </si>
  <si>
    <t>Bovenkarspel &amp; Andijk</t>
  </si>
  <si>
    <t>Vehikel</t>
  </si>
  <si>
    <t>RED III</t>
  </si>
  <si>
    <t>452 / 466</t>
  </si>
  <si>
    <t>466 / 452</t>
  </si>
  <si>
    <t xml:space="preserve">PRST BV / Van de Ven </t>
  </si>
  <si>
    <t>Van der Wiel Vastgoed 2 BV</t>
  </si>
  <si>
    <t xml:space="preserve">Kess Corporation NV / Two Lanes
</t>
  </si>
  <si>
    <t>D.I. (Daniel) Investments B.V.</t>
  </si>
  <si>
    <t>RED IV</t>
  </si>
  <si>
    <t>HEMA Den Bosch / Tastan</t>
  </si>
  <si>
    <t>Bakkers Hommen</t>
  </si>
  <si>
    <t xml:space="preserve">Ritchie Kremer
</t>
  </si>
  <si>
    <t xml:space="preserve">ERED / Schoutenwerf
</t>
  </si>
  <si>
    <t>Baarn</t>
  </si>
  <si>
    <t>Mankes</t>
  </si>
  <si>
    <t>Kragt Groep / Vughterweg</t>
  </si>
  <si>
    <t>Den Bosch</t>
  </si>
  <si>
    <t>Amsterdam-Noord</t>
  </si>
  <si>
    <t>Muiden</t>
  </si>
  <si>
    <t>Rotterdam</t>
  </si>
  <si>
    <t>Ridderkerk</t>
  </si>
  <si>
    <t>Hermon / Oudenoord</t>
  </si>
  <si>
    <t>DOV</t>
  </si>
  <si>
    <t>Loosdrecht</t>
  </si>
  <si>
    <t>Oss</t>
  </si>
  <si>
    <t>Veghel / Castor Beheer BV</t>
  </si>
  <si>
    <t>Polis 2026</t>
  </si>
  <si>
    <t>Opvolging (notitie)</t>
  </si>
  <si>
    <t>Feike / Prins Hendriksoord</t>
  </si>
  <si>
    <t>Amsterdam / Hilversum</t>
  </si>
  <si>
    <t>Bij verlenging volledige polis opvragen</t>
  </si>
  <si>
    <t>Ontvangen; nog discussie met taxateur</t>
  </si>
  <si>
    <t>Na twee jaar na startdatum</t>
  </si>
  <si>
    <t>RAX484REDIV</t>
  </si>
  <si>
    <t>RAX510REDIV</t>
  </si>
  <si>
    <t>Afgesproken ICR</t>
  </si>
  <si>
    <t>Mark van Rutten komt er op terug.</t>
  </si>
  <si>
    <t>RAX513REDIV</t>
  </si>
  <si>
    <t>RAX515REDIV</t>
  </si>
  <si>
    <t>Uiterlijk op 1 juli 2027</t>
  </si>
  <si>
    <t>RAX517REDIV</t>
  </si>
  <si>
    <t>RAX520REDIV</t>
  </si>
  <si>
    <t>Opmerking</t>
  </si>
  <si>
    <t>Ontvangen? (datum ontvangst taxatie)</t>
  </si>
  <si>
    <t>= in gebreke / niet tijdig aangeleverd</t>
  </si>
  <si>
    <t>= opvolgen / pending</t>
  </si>
  <si>
    <t>RAX517RED</t>
  </si>
  <si>
    <t>RAX518RED</t>
  </si>
  <si>
    <t>Jan Wieger</t>
  </si>
  <si>
    <t>Nicole@wiegliabeheer.nl</t>
  </si>
  <si>
    <t>Indien verlenging - taxatie ontvangen (daarna 01-02-2028)</t>
  </si>
  <si>
    <t>Opvragen?</t>
  </si>
  <si>
    <t>RAX513RED</t>
  </si>
  <si>
    <t>RAX520RED</t>
  </si>
  <si>
    <t>Q3 2025</t>
  </si>
  <si>
    <t>Vughterweg / Kragt</t>
  </si>
  <si>
    <t>hobie@meubitrend.com</t>
  </si>
  <si>
    <t>alex@kragtgroep.nl</t>
  </si>
  <si>
    <t>Enkel nog woonhuis; kantoor verkocht</t>
  </si>
  <si>
    <t>Wordt op korte termijn afgelost</t>
  </si>
  <si>
    <t>Bevestiging voldoet; contract gemeente loopt door</t>
  </si>
  <si>
    <t>recent geclosed; opvragen na Q1 2026</t>
  </si>
  <si>
    <t>Inproba Beheer BV / Baarn</t>
  </si>
  <si>
    <t>RAX446RED --&gt; RAX510</t>
  </si>
  <si>
    <t>RAX415RED --&gt; RAX517</t>
  </si>
  <si>
    <t>Cashsweep</t>
  </si>
  <si>
    <t>Oss / Veghel</t>
  </si>
  <si>
    <t>Taxatiewaarde</t>
  </si>
  <si>
    <t>LTV-taxatie</t>
  </si>
  <si>
    <t>LTV-kredietbrief (cov)</t>
  </si>
  <si>
    <t>Locatie</t>
  </si>
  <si>
    <t>Grub check - comments</t>
  </si>
  <si>
    <t>Entiteit (KvK-nummer)</t>
  </si>
  <si>
    <t>Wieglia Beheer BV (JW)</t>
  </si>
  <si>
    <t>Amsterdam / Almere</t>
  </si>
  <si>
    <t>*eerste week van nieuwe kwartaal = Grub check</t>
  </si>
  <si>
    <t>Privé</t>
  </si>
  <si>
    <t>-</t>
  </si>
  <si>
    <t>08038156</t>
  </si>
  <si>
    <t>ID Johannes &amp; Dirk-Jan Fuite verlopen</t>
  </si>
  <si>
    <t>ID loopt in maart 2026 af</t>
  </si>
  <si>
    <t>Nieuw UBO-uittreksel opvragen; Isaac Cohen-Hoshen nog betrokken?</t>
  </si>
  <si>
    <t>Q4 2025 jaarhuur</t>
  </si>
  <si>
    <t>Opvragen voor Q1 2026</t>
  </si>
  <si>
    <t>Uitgestuurd op 14-01-26</t>
  </si>
  <si>
    <t>Huur 4.9m voldoet</t>
  </si>
  <si>
    <t>Huur niet lager dan €4m (jaarbasis)</t>
  </si>
  <si>
    <t>Paspoort mevrouw Bahl - niet aanwezig</t>
  </si>
  <si>
    <t>Paspoort Sharon Damir &amp; Mats van Olst verlopen; opgevolgd (staat in map)</t>
  </si>
  <si>
    <t>Idem</t>
  </si>
  <si>
    <t>Zie lening 492</t>
  </si>
  <si>
    <t>= item verlopen / documenten aanleveren</t>
  </si>
  <si>
    <t>Structuur veranderd?; Kess nieuw UBO-opgaaf vragen (Sierra Durgaram ook UBO?)</t>
  </si>
  <si>
    <t>Nieuw UBO-opgaaf vragen andere UBO's dan voorheen + IDs</t>
  </si>
  <si>
    <t>Delewi &amp; Koster; beide ID verlopenv</t>
  </si>
  <si>
    <t>Office Centre Schiphol West I B.V. / Egger</t>
  </si>
  <si>
    <t>Zevenaar</t>
  </si>
  <si>
    <t>Q4 alles ontvangen; conform afspraken - geen breach</t>
  </si>
  <si>
    <t>Q1 2026 jaarhuur</t>
  </si>
  <si>
    <t>ICR (Q1 2026)</t>
  </si>
  <si>
    <t>ICR (Q4 2025)</t>
  </si>
  <si>
    <t>nvt; verlenging 1 maand (geen verandering)</t>
  </si>
  <si>
    <t>= aanleveren</t>
  </si>
  <si>
    <t>Wordt afgelost</t>
  </si>
  <si>
    <t>E-mail</t>
  </si>
  <si>
    <t>joopdrechsel@gmail.com</t>
  </si>
  <si>
    <t>jheijne@ered.nl; rmackay@ered.nl</t>
  </si>
  <si>
    <t>vanreesema@waterlandre.nl</t>
  </si>
  <si>
    <t>alex@kragtgroep.nl; lenneke@kragtgroep.nl</t>
  </si>
  <si>
    <t>chielvanschaick@hotmail.com</t>
  </si>
  <si>
    <t>jorishofridderkerkcv@bakkers-hommen.nl</t>
  </si>
  <si>
    <t>facturen@yycreativecapital.com</t>
  </si>
  <si>
    <t>gerard@gerose.nl</t>
  </si>
  <si>
    <t>p.schlick@abcvastgoed.nl</t>
  </si>
  <si>
    <t>barry@suijdam.com</t>
  </si>
  <si>
    <t>joeri.schellekens@intospace.eu</t>
  </si>
  <si>
    <t>m.verhoeven@vanderwielbouw.nl; a.vanderwiel@vanderwielbouw.nl</t>
  </si>
  <si>
    <t>Selmon@kesscorporation.com</t>
  </si>
  <si>
    <t>jerry@geldhof.nl</t>
  </si>
  <si>
    <t>Martin@etm2004.com</t>
  </si>
  <si>
    <t>tomer@propertypartners.nl</t>
  </si>
  <si>
    <t>Leon.Blokland@oceanco.nl</t>
  </si>
  <si>
    <t>rogerkenbeek@gmail.com</t>
  </si>
  <si>
    <t>sem@ledaser.nl</t>
  </si>
  <si>
    <t>hans.hogeslag@familybeef.nl; wouter.kaptijn@familybeef.nl</t>
  </si>
  <si>
    <t>waressel@gmail.com; facturen@galgenwaarddevelopment.nl</t>
  </si>
  <si>
    <t>egger@solidiam.com</t>
  </si>
  <si>
    <t>Grond</t>
  </si>
  <si>
    <t xml:space="preserve"> Grond </t>
  </si>
  <si>
    <t>R.Brand@lekkerkerker.nl</t>
  </si>
  <si>
    <t>Nodig?</t>
  </si>
  <si>
    <t>leemborg@necron.com</t>
  </si>
  <si>
    <t>fmaertens@hermonheritage.nl</t>
  </si>
  <si>
    <t>nversteeg@inproba.nl</t>
  </si>
  <si>
    <t>Loopt af op 01-08-2026</t>
  </si>
  <si>
    <t>CAR</t>
  </si>
  <si>
    <t>Fuite/Family beef voor 1 april!!! - zie mail 25 feb van Martijn</t>
  </si>
  <si>
    <t>Zevenaar / Egger</t>
  </si>
  <si>
    <t>2027 pas</t>
  </si>
  <si>
    <t>Reminder op 04-03-2026</t>
  </si>
  <si>
    <t>Prolongatie tot 01-01-2027 ontvangen</t>
  </si>
  <si>
    <t>Opgevraagd 01-14-2026; reminder 03-04-2026</t>
  </si>
  <si>
    <t>CAR; einddatum 01-05-2027</t>
  </si>
  <si>
    <t>Vervalt op 01-04-2026 (prolongatie opvragen tzt)</t>
  </si>
  <si>
    <t>Afschrift betaling ontvangen (voldoende?)</t>
  </si>
  <si>
    <t>Antoinette (Jongerius) tekenen overdracht!!!</t>
  </si>
  <si>
    <t>Rente bedraagt nu 0,85% per maand</t>
  </si>
  <si>
    <t>Reminder op 17-03-2026; CAR opgevraagd aannemer</t>
  </si>
  <si>
    <t>Daadwerkelijke huurniveau mag niet lager dan €4m zijn</t>
  </si>
  <si>
    <t>&lt; €4m</t>
  </si>
  <si>
    <t>Geen breach</t>
  </si>
  <si>
    <t>Waarvan €650k externe huur (restant eigenaar-gebruiker)</t>
  </si>
  <si>
    <t>Q4 2025 (aanleveren)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</si>
</sst>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4" formatCode="_(&quot;€&quot;\ * #,##0.00_);_(&quot;€&quot;\ * \(#,##0.00\);_(&quot;€&quot;\ * &quot;-&quot;??_);_(@_)"/>
    <numFmt numFmtId="43" formatCode="_(* #,##0.00_);_(* \(#,##0.00\);_(* &quot;-&quot;??_);_(@_)"/>
    <numFmt numFmtId="164" formatCode="_(* #,##0_);_(* \(#,##0\);_(* &quot;-&quot;??_);_(@_)"/>
    <numFmt numFmtId="165" formatCode="_(&quot;€&quot;\ * #,##0_);_(&quot;€&quot;\ * \(#,##0\);_(&quot;€&quot;\ * &quot;-&quot;??_);_(@_)"/>
    <numFmt numFmtId="166" formatCode="_(&quot;€&quot;\ * #,##0.0_);_(&quot;€&quot;\ * \(#,##0.0\);_(&quot;€&quot;\ * &quot;-&quot;??_);_(@_)"/>
  </numFmts>
  <fonts count="37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b/>
      <sz val="12"/>
      <color theme="1"/>
      <name val="Aptos Narrow"/>
      <family val="2"/>
      <scheme val="minor"/>
    </font>
    <font>
      <b/>
      <sz val="11"/>
      <name val="Calibri"/>
      <family val="2"/>
    </font>
    <font>
      <b/>
      <sz val="12"/>
      <name val="Calibri"/>
      <family val="2"/>
    </font>
    <font>
      <sz val="12"/>
      <color rgb="FFFF0000"/>
      <name val="Aptos Narrow"/>
      <family val="2"/>
      <scheme val="minor"/>
    </font>
    <font>
      <b/>
      <sz val="12"/>
      <color rgb="FF000000"/>
      <name val="Aptos Narrow"/>
      <scheme val="minor"/>
    </font>
    <font>
      <b/>
      <sz val="12"/>
      <color rgb="FF000000"/>
      <name val="Aptos Narrow"/>
      <family val="2"/>
      <scheme val="minor"/>
    </font>
    <font>
      <sz val="12"/>
      <color rgb="FF000000"/>
      <name val="Aptos Narrow"/>
      <family val="2"/>
      <scheme val="minor"/>
    </font>
    <font>
      <sz val="12"/>
      <color theme="2" tint="-0.499984740745262"/>
      <name val="Aptos Narrow"/>
      <family val="2"/>
      <scheme val="minor"/>
    </font>
    <font>
      <b/>
      <sz val="12"/>
      <color rgb="FF0070C0"/>
      <name val="Aptos Narrow"/>
      <family val="2"/>
      <scheme val="minor"/>
    </font>
    <font>
      <sz val="12"/>
      <name val="Aptos Narrow"/>
      <family val="2"/>
      <scheme val="minor"/>
    </font>
    <font>
      <sz val="12"/>
      <color theme="1" tint="0.34998626667073579"/>
      <name val="Aptos Narrow"/>
      <family val="2"/>
      <scheme val="minor"/>
    </font>
    <font>
      <sz val="12"/>
      <color rgb="FF0070C0"/>
      <name val="Aptos Narrow"/>
      <family val="2"/>
      <scheme val="minor"/>
    </font>
    <font>
      <sz val="12"/>
      <color theme="1"/>
      <name val="Aptos Narrow"/>
      <scheme val="minor"/>
    </font>
    <font>
      <sz val="12"/>
      <color theme="6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2"/>
      <color rgb="FFFF0000"/>
      <name val="Aptos Narrow"/>
      <family val="2"/>
      <scheme val="minor"/>
    </font>
    <font>
      <sz val="10"/>
      <color theme="2" tint="-0.749992370372631"/>
      <name val="Barlow"/>
    </font>
    <font>
      <sz val="10"/>
      <color theme="1" tint="0.249977111117893"/>
      <name val="Barlow"/>
    </font>
    <font>
      <sz val="10"/>
      <color theme="3"/>
      <name val="Barlow"/>
    </font>
    <font>
      <b/>
      <sz val="12"/>
      <color theme="3" tint="0.499984740745262"/>
      <name val="Aptos Narrow"/>
      <family val="2"/>
      <scheme val="minor"/>
    </font>
    <font>
      <sz val="16"/>
      <color rgb="FF808080"/>
      <name val="Arial"/>
      <family val="2"/>
    </font>
    <font>
      <b/>
      <sz val="12"/>
      <color theme="2" tint="-0.499984740745262"/>
      <name val="Aptos Narrow"/>
      <scheme val="minor"/>
    </font>
    <font>
      <sz val="10"/>
      <color theme="3" tint="0.249977111117893"/>
      <name val="Barlow"/>
    </font>
    <font>
      <sz val="10"/>
      <color theme="0"/>
      <name val="Barlow"/>
    </font>
    <font>
      <b/>
      <sz val="10"/>
      <color theme="0"/>
      <name val="Barlow"/>
    </font>
    <font>
      <sz val="11"/>
      <color rgb="FF000000"/>
      <name val="Aptos"/>
    </font>
    <font>
      <sz val="10"/>
      <color theme="2" tint="-0.249977111117893"/>
      <name val="Aptos Narrow"/>
      <family val="2"/>
      <scheme val="minor"/>
    </font>
    <font>
      <b/>
      <sz val="10"/>
      <color theme="2" tint="-0.249977111117893"/>
      <name val="Aptos Narrow"/>
      <scheme val="minor"/>
    </font>
    <font>
      <sz val="10"/>
      <color theme="1"/>
      <name val="Aptos Narrow"/>
      <family val="2"/>
      <scheme val="minor"/>
    </font>
    <font>
      <sz val="10"/>
      <color rgb="FF00B050"/>
      <name val="Barlow"/>
    </font>
    <font>
      <sz val="10"/>
      <color rgb="FFFF0000"/>
      <name val="Barlow"/>
    </font>
    <font>
      <sz val="10"/>
      <color rgb="FF404040"/>
      <name val="Barlow"/>
      <charset val="1"/>
    </font>
    <font>
      <sz val="15"/>
      <color theme="2" tint="-0.499984740745262"/>
      <name val="Aptos"/>
    </font>
    <font>
      <b/>
      <sz val="12"/>
      <color rgb="FFFF0000"/>
      <name val="Aptos Narrow"/>
      <scheme val="minor"/>
    </font>
    <font>
      <sz val="12"/>
      <color rgb="FFFF0000"/>
      <name val="Aptos Narrow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DAE9F8"/>
        <bgColor rgb="FF000000"/>
      </patternFill>
    </fill>
    <fill>
      <patternFill patternType="solid">
        <fgColor theme="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E8E8E8"/>
        <bgColor rgb="FF000000"/>
      </patternFill>
    </fill>
  </fills>
  <borders count="27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/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 style="thin">
        <color theme="0"/>
      </left>
      <right style="thin">
        <color theme="0"/>
      </right>
      <top/>
      <bottom style="thin">
        <color rgb="FF002060"/>
      </bottom>
      <diagonal/>
    </border>
    <border>
      <left style="thin">
        <color theme="0"/>
      </left>
      <right/>
      <top/>
      <bottom style="thin">
        <color rgb="FF002060"/>
      </bottom>
      <diagonal/>
    </border>
    <border>
      <left style="thin">
        <color indexed="64"/>
      </left>
      <right style="thin">
        <color theme="0"/>
      </right>
      <top/>
      <bottom style="thin">
        <color rgb="FF002060"/>
      </bottom>
      <diagonal/>
    </border>
    <border>
      <left style="thin">
        <color indexed="64"/>
      </left>
      <right style="thin">
        <color indexed="64"/>
      </right>
      <top/>
      <bottom style="thin">
        <color rgb="FF002060"/>
      </bottom>
      <diagonal/>
    </border>
    <border>
      <left style="thin">
        <color rgb="FFFFFFFF"/>
      </left>
      <right style="thin">
        <color rgb="FFFFFFFF"/>
      </right>
      <top/>
      <bottom style="thin">
        <color rgb="FF002060"/>
      </bottom>
      <diagonal/>
    </border>
  </borders>
  <cellStyleXfs count="3">
    <xf numFmtId="0" fontId="0" fillId="0" borderId="0"/>
    <xf numFmtId="43" fontId="16" fillId="0" borderId="0" applyFont="0" applyFill="0" applyBorder="0" applyAlignment="0" applyProtection="0"/>
    <xf numFmtId="44" fontId="16" fillId="0" borderId="0" applyFont="0" applyFill="0" applyBorder="0" applyAlignment="0" applyProtection="0"/>
  </cellStyleXfs>
  <cellXfs count="219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0" fillId="0" borderId="1" xfId="0" applyBorder="1" applyAlignment="1">
      <alignment horizontal="center"/>
    </xf>
    <xf numFmtId="0" fontId="0" fillId="0" borderId="3" xfId="0" applyBorder="1"/>
    <xf numFmtId="0" fontId="1" fillId="0" borderId="0" xfId="0" applyFont="1" applyAlignment="1">
      <alignment horizontal="center"/>
    </xf>
    <xf numFmtId="0" fontId="0" fillId="0" borderId="3" xfId="0" applyBorder="1" applyAlignment="1">
      <alignment horizontal="center"/>
    </xf>
    <xf numFmtId="0" fontId="1" fillId="0" borderId="2" xfId="0" applyFont="1" applyBorder="1" applyAlignment="1">
      <alignment horizontal="center"/>
    </xf>
    <xf numFmtId="14" fontId="0" fillId="0" borderId="0" xfId="0" applyNumberFormat="1"/>
    <xf numFmtId="0" fontId="1" fillId="0" borderId="3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7" xfId="0" applyFont="1" applyBorder="1" applyAlignment="1">
      <alignment horizontal="center"/>
    </xf>
    <xf numFmtId="49" fontId="0" fillId="0" borderId="0" xfId="0" applyNumberFormat="1" applyAlignment="1">
      <alignment horizontal="left" vertical="center"/>
    </xf>
    <xf numFmtId="14" fontId="0" fillId="0" borderId="8" xfId="0" applyNumberFormat="1" applyBorder="1" applyAlignment="1">
      <alignment horizontal="left"/>
    </xf>
    <xf numFmtId="14" fontId="0" fillId="0" borderId="2" xfId="0" applyNumberFormat="1" applyBorder="1" applyAlignment="1">
      <alignment horizontal="left"/>
    </xf>
    <xf numFmtId="14" fontId="0" fillId="0" borderId="0" xfId="0" applyNumberFormat="1" applyAlignment="1">
      <alignment horizontal="center"/>
    </xf>
    <xf numFmtId="49" fontId="0" fillId="0" borderId="10" xfId="0" applyNumberFormat="1" applyBorder="1" applyAlignment="1">
      <alignment horizontal="left" vertical="center"/>
    </xf>
    <xf numFmtId="14" fontId="0" fillId="0" borderId="11" xfId="0" applyNumberFormat="1" applyBorder="1" applyAlignment="1">
      <alignment horizontal="left"/>
    </xf>
    <xf numFmtId="0" fontId="0" fillId="0" borderId="12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9" xfId="0" applyBorder="1" applyAlignment="1">
      <alignment horizontal="center"/>
    </xf>
    <xf numFmtId="14" fontId="0" fillId="0" borderId="10" xfId="0" applyNumberFormat="1" applyBorder="1" applyAlignment="1">
      <alignment horizontal="center"/>
    </xf>
    <xf numFmtId="14" fontId="0" fillId="0" borderId="10" xfId="0" applyNumberFormat="1" applyBorder="1"/>
    <xf numFmtId="0" fontId="0" fillId="0" borderId="9" xfId="0" applyBorder="1"/>
    <xf numFmtId="0" fontId="0" fillId="0" borderId="10" xfId="0" applyBorder="1"/>
    <xf numFmtId="0" fontId="0" fillId="0" borderId="12" xfId="0" applyBorder="1"/>
    <xf numFmtId="49" fontId="0" fillId="0" borderId="14" xfId="0" applyNumberFormat="1" applyBorder="1" applyAlignment="1">
      <alignment horizontal="left" vertical="center"/>
    </xf>
    <xf numFmtId="0" fontId="0" fillId="0" borderId="14" xfId="0" applyBorder="1"/>
    <xf numFmtId="14" fontId="0" fillId="0" borderId="15" xfId="0" applyNumberFormat="1" applyBorder="1" applyAlignment="1">
      <alignment horizontal="left"/>
    </xf>
    <xf numFmtId="0" fontId="0" fillId="0" borderId="16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3" xfId="0" applyBorder="1" applyAlignment="1">
      <alignment horizontal="center"/>
    </xf>
    <xf numFmtId="14" fontId="0" fillId="0" borderId="14" xfId="0" applyNumberFormat="1" applyBorder="1"/>
    <xf numFmtId="0" fontId="0" fillId="0" borderId="13" xfId="0" applyBorder="1"/>
    <xf numFmtId="14" fontId="0" fillId="2" borderId="14" xfId="0" applyNumberFormat="1" applyFill="1" applyBorder="1" applyAlignment="1">
      <alignment horizontal="center"/>
    </xf>
    <xf numFmtId="14" fontId="0" fillId="0" borderId="14" xfId="0" applyNumberFormat="1" applyBorder="1" applyAlignment="1">
      <alignment horizontal="center"/>
    </xf>
    <xf numFmtId="14" fontId="0" fillId="0" borderId="17" xfId="0" applyNumberFormat="1" applyBorder="1" applyAlignment="1">
      <alignment horizontal="center"/>
    </xf>
    <xf numFmtId="0" fontId="0" fillId="0" borderId="14" xfId="0" applyBorder="1" applyAlignment="1">
      <alignment wrapText="1"/>
    </xf>
    <xf numFmtId="0" fontId="0" fillId="2" borderId="0" xfId="0" applyFill="1"/>
    <xf numFmtId="0" fontId="1" fillId="3" borderId="0" xfId="0" applyFont="1" applyFill="1" applyAlignment="1">
      <alignment horizontal="center"/>
    </xf>
    <xf numFmtId="49" fontId="2" fillId="3" borderId="0" xfId="0" applyNumberFormat="1" applyFont="1" applyFill="1" applyAlignment="1">
      <alignment horizontal="left" vertical="center"/>
    </xf>
    <xf numFmtId="0" fontId="2" fillId="3" borderId="10" xfId="0" applyFont="1" applyFill="1" applyBorder="1"/>
    <xf numFmtId="49" fontId="2" fillId="3" borderId="10" xfId="0" applyNumberFormat="1" applyFont="1" applyFill="1" applyBorder="1" applyAlignment="1">
      <alignment horizontal="left" vertical="center"/>
    </xf>
    <xf numFmtId="49" fontId="2" fillId="3" borderId="14" xfId="0" applyNumberFormat="1" applyFont="1" applyFill="1" applyBorder="1" applyAlignment="1">
      <alignment horizontal="left" vertical="center"/>
    </xf>
    <xf numFmtId="0" fontId="2" fillId="3" borderId="14" xfId="0" applyFont="1" applyFill="1" applyBorder="1"/>
    <xf numFmtId="0" fontId="2" fillId="3" borderId="0" xfId="0" applyFont="1" applyFill="1"/>
    <xf numFmtId="0" fontId="3" fillId="3" borderId="0" xfId="0" applyFont="1" applyFill="1"/>
    <xf numFmtId="0" fontId="3" fillId="3" borderId="10" xfId="0" applyFont="1" applyFill="1" applyBorder="1"/>
    <xf numFmtId="0" fontId="0" fillId="0" borderId="17" xfId="0" applyBorder="1"/>
    <xf numFmtId="14" fontId="0" fillId="0" borderId="18" xfId="0" applyNumberFormat="1" applyBorder="1" applyAlignment="1">
      <alignment horizontal="left"/>
    </xf>
    <xf numFmtId="0" fontId="0" fillId="0" borderId="19" xfId="0" applyBorder="1" applyAlignment="1">
      <alignment horizontal="center"/>
    </xf>
    <xf numFmtId="0" fontId="0" fillId="0" borderId="20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2" xfId="0" applyBorder="1"/>
    <xf numFmtId="0" fontId="0" fillId="0" borderId="11" xfId="0" applyBorder="1"/>
    <xf numFmtId="0" fontId="2" fillId="3" borderId="17" xfId="0" applyFont="1" applyFill="1" applyBorder="1"/>
    <xf numFmtId="0" fontId="0" fillId="0" borderId="20" xfId="0" applyBorder="1"/>
    <xf numFmtId="0" fontId="0" fillId="3" borderId="0" xfId="0" applyFill="1"/>
    <xf numFmtId="0" fontId="2" fillId="3" borderId="14" xfId="0" applyFont="1" applyFill="1" applyBorder="1" applyAlignment="1">
      <alignment vertical="center"/>
    </xf>
    <xf numFmtId="0" fontId="0" fillId="0" borderId="14" xfId="0" applyBorder="1" applyAlignment="1">
      <alignment horizontal="left" vertical="center" wrapText="1"/>
    </xf>
    <xf numFmtId="14" fontId="0" fillId="0" borderId="15" xfId="0" applyNumberFormat="1" applyBorder="1" applyAlignment="1">
      <alignment horizontal="left" vertical="center"/>
    </xf>
    <xf numFmtId="0" fontId="0" fillId="0" borderId="16" xfId="0" applyBorder="1" applyAlignment="1">
      <alignment horizontal="center" vertical="center"/>
    </xf>
    <xf numFmtId="14" fontId="0" fillId="0" borderId="14" xfId="0" applyNumberForma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14" fontId="0" fillId="0" borderId="14" xfId="0" applyNumberFormat="1" applyBorder="1" applyAlignment="1">
      <alignment vertical="center"/>
    </xf>
    <xf numFmtId="0" fontId="0" fillId="0" borderId="13" xfId="0" applyBorder="1" applyAlignment="1">
      <alignment vertical="center"/>
    </xf>
    <xf numFmtId="0" fontId="0" fillId="0" borderId="0" xfId="0" applyAlignment="1">
      <alignment vertical="center"/>
    </xf>
    <xf numFmtId="0" fontId="4" fillId="3" borderId="0" xfId="0" applyFont="1" applyFill="1"/>
    <xf numFmtId="0" fontId="2" fillId="3" borderId="16" xfId="0" applyFont="1" applyFill="1" applyBorder="1"/>
    <xf numFmtId="0" fontId="0" fillId="4" borderId="3" xfId="0" applyFill="1" applyBorder="1" applyAlignment="1">
      <alignment horizontal="center"/>
    </xf>
    <xf numFmtId="0" fontId="0" fillId="2" borderId="13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2" borderId="13" xfId="0" applyFill="1" applyBorder="1" applyAlignment="1">
      <alignment horizontal="center" vertical="center"/>
    </xf>
    <xf numFmtId="0" fontId="6" fillId="0" borderId="5" xfId="0" applyFont="1" applyBorder="1" applyAlignment="1">
      <alignment horizontal="center"/>
    </xf>
    <xf numFmtId="0" fontId="6" fillId="0" borderId="7" xfId="0" applyFont="1" applyBorder="1" applyAlignment="1">
      <alignment horizontal="center"/>
    </xf>
    <xf numFmtId="0" fontId="7" fillId="5" borderId="10" xfId="0" applyFont="1" applyFill="1" applyBorder="1"/>
    <xf numFmtId="0" fontId="8" fillId="0" borderId="0" xfId="0" applyFont="1"/>
    <xf numFmtId="0" fontId="8" fillId="0" borderId="10" xfId="0" applyFont="1" applyBorder="1"/>
    <xf numFmtId="0" fontId="8" fillId="0" borderId="12" xfId="0" applyFont="1" applyBorder="1" applyAlignment="1">
      <alignment horizontal="center"/>
    </xf>
    <xf numFmtId="0" fontId="8" fillId="0" borderId="10" xfId="0" applyFont="1" applyBorder="1" applyAlignment="1">
      <alignment horizontal="center"/>
    </xf>
    <xf numFmtId="49" fontId="7" fillId="5" borderId="10" xfId="0" applyNumberFormat="1" applyFont="1" applyFill="1" applyBorder="1" applyAlignment="1">
      <alignment horizontal="left" vertical="center"/>
    </xf>
    <xf numFmtId="49" fontId="8" fillId="0" borderId="10" xfId="0" applyNumberFormat="1" applyFont="1" applyBorder="1" applyAlignment="1">
      <alignment horizontal="left" vertical="center"/>
    </xf>
    <xf numFmtId="0" fontId="7" fillId="5" borderId="10" xfId="0" applyFont="1" applyFill="1" applyBorder="1" applyAlignment="1">
      <alignment vertical="center"/>
    </xf>
    <xf numFmtId="0" fontId="8" fillId="0" borderId="10" xfId="0" applyFont="1" applyBorder="1" applyAlignment="1">
      <alignment wrapText="1"/>
    </xf>
    <xf numFmtId="0" fontId="7" fillId="5" borderId="14" xfId="0" applyFont="1" applyFill="1" applyBorder="1"/>
    <xf numFmtId="0" fontId="8" fillId="0" borderId="14" xfId="0" applyFont="1" applyBorder="1"/>
    <xf numFmtId="0" fontId="8" fillId="0" borderId="0" xfId="0" applyFont="1" applyAlignment="1">
      <alignment horizontal="center"/>
    </xf>
    <xf numFmtId="0" fontId="8" fillId="0" borderId="16" xfId="0" applyFont="1" applyBorder="1" applyAlignment="1">
      <alignment horizontal="center"/>
    </xf>
    <xf numFmtId="0" fontId="4" fillId="5" borderId="14" xfId="0" applyFont="1" applyFill="1" applyBorder="1"/>
    <xf numFmtId="14" fontId="8" fillId="0" borderId="14" xfId="0" applyNumberFormat="1" applyFont="1" applyBorder="1" applyAlignment="1">
      <alignment horizontal="center"/>
    </xf>
    <xf numFmtId="0" fontId="7" fillId="5" borderId="14" xfId="0" applyFont="1" applyFill="1" applyBorder="1" applyAlignment="1">
      <alignment horizontal="left" vertical="top" wrapText="1"/>
    </xf>
    <xf numFmtId="0" fontId="8" fillId="0" borderId="13" xfId="0" applyFont="1" applyBorder="1"/>
    <xf numFmtId="0" fontId="9" fillId="0" borderId="10" xfId="0" applyFont="1" applyBorder="1"/>
    <xf numFmtId="0" fontId="10" fillId="5" borderId="12" xfId="0" applyFont="1" applyFill="1" applyBorder="1"/>
    <xf numFmtId="0" fontId="10" fillId="5" borderId="10" xfId="0" applyFont="1" applyFill="1" applyBorder="1"/>
    <xf numFmtId="0" fontId="2" fillId="3" borderId="0" xfId="0" applyFont="1" applyFill="1" applyAlignment="1">
      <alignment horizontal="left" vertical="top" wrapText="1"/>
    </xf>
    <xf numFmtId="14" fontId="8" fillId="0" borderId="12" xfId="0" applyNumberFormat="1" applyFont="1" applyBorder="1" applyAlignment="1">
      <alignment horizontal="center"/>
    </xf>
    <xf numFmtId="14" fontId="8" fillId="0" borderId="12" xfId="0" applyNumberFormat="1" applyFont="1" applyBorder="1" applyAlignment="1">
      <alignment horizontal="center" vertical="center"/>
    </xf>
    <xf numFmtId="14" fontId="8" fillId="0" borderId="15" xfId="0" applyNumberFormat="1" applyFont="1" applyBorder="1" applyAlignment="1">
      <alignment horizontal="center"/>
    </xf>
    <xf numFmtId="14" fontId="8" fillId="0" borderId="18" xfId="0" applyNumberFormat="1" applyFont="1" applyBorder="1" applyAlignment="1">
      <alignment horizontal="center"/>
    </xf>
    <xf numFmtId="14" fontId="8" fillId="0" borderId="11" xfId="0" applyNumberFormat="1" applyFont="1" applyBorder="1" applyAlignment="1">
      <alignment horizontal="center"/>
    </xf>
    <xf numFmtId="14" fontId="8" fillId="0" borderId="16" xfId="0" applyNumberFormat="1" applyFont="1" applyBorder="1" applyAlignment="1">
      <alignment horizontal="center"/>
    </xf>
    <xf numFmtId="0" fontId="11" fillId="0" borderId="12" xfId="0" applyFont="1" applyBorder="1" applyAlignment="1">
      <alignment horizontal="center"/>
    </xf>
    <xf numFmtId="14" fontId="13" fillId="0" borderId="18" xfId="0" applyNumberFormat="1" applyFont="1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11" xfId="0" applyBorder="1" applyAlignment="1">
      <alignment horizontal="center"/>
    </xf>
    <xf numFmtId="0" fontId="2" fillId="3" borderId="17" xfId="0" applyFont="1" applyFill="1" applyBorder="1" applyAlignment="1">
      <alignment horizontal="center" vertical="top" wrapText="1"/>
    </xf>
    <xf numFmtId="0" fontId="2" fillId="3" borderId="14" xfId="0" applyFont="1" applyFill="1" applyBorder="1" applyAlignment="1">
      <alignment horizontal="center" vertical="top" wrapText="1"/>
    </xf>
    <xf numFmtId="0" fontId="2" fillId="3" borderId="0" xfId="0" applyFont="1" applyFill="1" applyAlignment="1">
      <alignment horizontal="center" vertical="top" wrapText="1"/>
    </xf>
    <xf numFmtId="0" fontId="1" fillId="0" borderId="5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4" fillId="3" borderId="17" xfId="0" applyFont="1" applyFill="1" applyBorder="1" applyAlignment="1">
      <alignment horizontal="center" vertical="top" wrapText="1"/>
    </xf>
    <xf numFmtId="0" fontId="14" fillId="3" borderId="0" xfId="0" applyFont="1" applyFill="1" applyAlignment="1">
      <alignment horizontal="center" vertical="top" wrapText="1"/>
    </xf>
    <xf numFmtId="0" fontId="14" fillId="3" borderId="14" xfId="0" applyFont="1" applyFill="1" applyBorder="1" applyAlignment="1">
      <alignment horizontal="center" vertical="top" wrapText="1"/>
    </xf>
    <xf numFmtId="14" fontId="15" fillId="0" borderId="18" xfId="0" applyNumberFormat="1" applyFont="1" applyBorder="1" applyAlignment="1">
      <alignment horizontal="center"/>
    </xf>
    <xf numFmtId="0" fontId="6" fillId="0" borderId="6" xfId="0" applyFont="1" applyBorder="1" applyAlignment="1">
      <alignment horizontal="center"/>
    </xf>
    <xf numFmtId="14" fontId="12" fillId="0" borderId="12" xfId="0" applyNumberFormat="1" applyFont="1" applyBorder="1" applyAlignment="1">
      <alignment horizontal="center"/>
    </xf>
    <xf numFmtId="14" fontId="5" fillId="0" borderId="12" xfId="0" applyNumberFormat="1" applyFont="1" applyBorder="1" applyAlignment="1">
      <alignment horizontal="center"/>
    </xf>
    <xf numFmtId="14" fontId="8" fillId="0" borderId="1" xfId="0" applyNumberFormat="1" applyFont="1" applyBorder="1" applyAlignment="1">
      <alignment horizontal="center"/>
    </xf>
    <xf numFmtId="0" fontId="8" fillId="0" borderId="11" xfId="0" applyFont="1" applyBorder="1" applyAlignment="1">
      <alignment horizontal="center"/>
    </xf>
    <xf numFmtId="14" fontId="11" fillId="0" borderId="11" xfId="0" applyNumberFormat="1" applyFont="1" applyBorder="1" applyAlignment="1">
      <alignment horizontal="center"/>
    </xf>
    <xf numFmtId="14" fontId="8" fillId="0" borderId="2" xfId="0" applyNumberFormat="1" applyFont="1" applyBorder="1" applyAlignment="1">
      <alignment horizontal="center"/>
    </xf>
    <xf numFmtId="14" fontId="15" fillId="0" borderId="15" xfId="0" applyNumberFormat="1" applyFont="1" applyBorder="1" applyAlignment="1">
      <alignment horizontal="center"/>
    </xf>
    <xf numFmtId="0" fontId="14" fillId="3" borderId="14" xfId="0" applyFont="1" applyFill="1" applyBorder="1" applyAlignment="1">
      <alignment horizontal="center" vertical="center" wrapText="1"/>
    </xf>
    <xf numFmtId="0" fontId="2" fillId="3" borderId="14" xfId="0" applyFont="1" applyFill="1" applyBorder="1" applyAlignment="1">
      <alignment horizontal="center" vertical="center" wrapText="1"/>
    </xf>
    <xf numFmtId="0" fontId="8" fillId="0" borderId="13" xfId="0" applyFont="1" applyBorder="1" applyAlignment="1">
      <alignment horizontal="center" vertical="center"/>
    </xf>
    <xf numFmtId="0" fontId="0" fillId="3" borderId="14" xfId="0" applyFill="1" applyBorder="1" applyAlignment="1">
      <alignment horizontal="center"/>
    </xf>
    <xf numFmtId="0" fontId="2" fillId="3" borderId="16" xfId="0" applyFont="1" applyFill="1" applyBorder="1" applyAlignment="1">
      <alignment horizontal="center" vertical="center" wrapText="1"/>
    </xf>
    <xf numFmtId="49" fontId="2" fillId="3" borderId="21" xfId="0" applyNumberFormat="1" applyFont="1" applyFill="1" applyBorder="1" applyAlignment="1">
      <alignment horizontal="center" vertical="center"/>
    </xf>
    <xf numFmtId="49" fontId="2" fillId="3" borderId="1" xfId="0" applyNumberFormat="1" applyFont="1" applyFill="1" applyBorder="1" applyAlignment="1">
      <alignment horizontal="center" vertical="center"/>
    </xf>
    <xf numFmtId="0" fontId="2" fillId="3" borderId="16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2" fillId="3" borderId="16" xfId="0" applyFont="1" applyFill="1" applyBorder="1" applyAlignment="1">
      <alignment horizontal="center" vertical="center"/>
    </xf>
    <xf numFmtId="0" fontId="2" fillId="3" borderId="19" xfId="0" applyFont="1" applyFill="1" applyBorder="1" applyAlignment="1">
      <alignment horizontal="center" vertical="top" wrapText="1"/>
    </xf>
    <xf numFmtId="0" fontId="2" fillId="3" borderId="19" xfId="0" applyFont="1" applyFill="1" applyBorder="1" applyAlignment="1">
      <alignment horizontal="center"/>
    </xf>
    <xf numFmtId="0" fontId="7" fillId="5" borderId="16" xfId="0" applyFont="1" applyFill="1" applyBorder="1" applyAlignment="1">
      <alignment horizontal="center"/>
    </xf>
    <xf numFmtId="0" fontId="0" fillId="0" borderId="1" xfId="0" applyBorder="1"/>
    <xf numFmtId="14" fontId="0" fillId="0" borderId="1" xfId="0" applyNumberFormat="1" applyBorder="1" applyAlignment="1">
      <alignment horizontal="center"/>
    </xf>
    <xf numFmtId="14" fontId="0" fillId="0" borderId="11" xfId="0" applyNumberFormat="1" applyBorder="1" applyAlignment="1">
      <alignment horizontal="center"/>
    </xf>
    <xf numFmtId="0" fontId="8" fillId="2" borderId="12" xfId="0" applyFont="1" applyFill="1" applyBorder="1" applyAlignment="1">
      <alignment horizontal="center"/>
    </xf>
    <xf numFmtId="14" fontId="8" fillId="2" borderId="11" xfId="0" applyNumberFormat="1" applyFont="1" applyFill="1" applyBorder="1" applyAlignment="1">
      <alignment horizontal="center"/>
    </xf>
    <xf numFmtId="14" fontId="0" fillId="0" borderId="12" xfId="0" applyNumberForma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14" fontId="8" fillId="0" borderId="11" xfId="0" applyNumberFormat="1" applyFont="1" applyBorder="1" applyAlignment="1">
      <alignment horizontal="center" vertical="center"/>
    </xf>
    <xf numFmtId="0" fontId="6" fillId="7" borderId="5" xfId="0" applyFont="1" applyFill="1" applyBorder="1" applyAlignment="1">
      <alignment horizontal="center" vertical="center"/>
    </xf>
    <xf numFmtId="14" fontId="11" fillId="0" borderId="12" xfId="0" applyNumberFormat="1" applyFont="1" applyBorder="1" applyAlignment="1">
      <alignment horizontal="center"/>
    </xf>
    <xf numFmtId="0" fontId="5" fillId="0" borderId="16" xfId="0" applyFont="1" applyBorder="1" applyAlignment="1">
      <alignment horizontal="center"/>
    </xf>
    <xf numFmtId="0" fontId="17" fillId="5" borderId="14" xfId="0" applyFont="1" applyFill="1" applyBorder="1"/>
    <xf numFmtId="1" fontId="18" fillId="6" borderId="22" xfId="0" applyNumberFormat="1" applyFont="1" applyFill="1" applyBorder="1" applyAlignment="1">
      <alignment horizontal="center" vertical="center"/>
    </xf>
    <xf numFmtId="164" fontId="19" fillId="6" borderId="22" xfId="1" applyNumberFormat="1" applyFont="1" applyFill="1" applyBorder="1" applyAlignment="1">
      <alignment horizontal="left" vertical="center"/>
    </xf>
    <xf numFmtId="164" fontId="19" fillId="6" borderId="22" xfId="1" applyNumberFormat="1" applyFont="1" applyFill="1" applyBorder="1" applyAlignment="1">
      <alignment horizontal="center" vertical="center"/>
    </xf>
    <xf numFmtId="14" fontId="19" fillId="6" borderId="22" xfId="1" applyNumberFormat="1" applyFont="1" applyFill="1" applyBorder="1" applyAlignment="1">
      <alignment horizontal="center" vertical="center"/>
    </xf>
    <xf numFmtId="164" fontId="20" fillId="6" borderId="22" xfId="1" applyNumberFormat="1" applyFont="1" applyFill="1" applyBorder="1" applyAlignment="1">
      <alignment horizontal="center" vertical="center"/>
    </xf>
    <xf numFmtId="0" fontId="11" fillId="2" borderId="12" xfId="0" applyFont="1" applyFill="1" applyBorder="1" applyAlignment="1">
      <alignment horizontal="center"/>
    </xf>
    <xf numFmtId="14" fontId="11" fillId="2" borderId="11" xfId="0" applyNumberFormat="1" applyFont="1" applyFill="1" applyBorder="1" applyAlignment="1">
      <alignment horizontal="center" vertical="center"/>
    </xf>
    <xf numFmtId="14" fontId="11" fillId="0" borderId="12" xfId="0" applyNumberFormat="1" applyFont="1" applyBorder="1" applyAlignment="1">
      <alignment horizontal="center" vertical="center"/>
    </xf>
    <xf numFmtId="0" fontId="0" fillId="0" borderId="0" xfId="0" quotePrefix="1" applyAlignment="1">
      <alignment horizontal="left"/>
    </xf>
    <xf numFmtId="0" fontId="0" fillId="0" borderId="0" xfId="0" quotePrefix="1"/>
    <xf numFmtId="0" fontId="0" fillId="8" borderId="15" xfId="0" applyFill="1" applyBorder="1"/>
    <xf numFmtId="0" fontId="0" fillId="2" borderId="15" xfId="0" applyFill="1" applyBorder="1"/>
    <xf numFmtId="0" fontId="5" fillId="0" borderId="11" xfId="0" applyFont="1" applyBorder="1" applyAlignment="1">
      <alignment horizontal="center"/>
    </xf>
    <xf numFmtId="0" fontId="1" fillId="0" borderId="6" xfId="0" applyFont="1" applyBorder="1" applyAlignment="1">
      <alignment vertical="center"/>
    </xf>
    <xf numFmtId="14" fontId="0" fillId="0" borderId="16" xfId="0" applyNumberFormat="1" applyBorder="1" applyAlignment="1">
      <alignment horizontal="center"/>
    </xf>
    <xf numFmtId="14" fontId="0" fillId="0" borderId="12" xfId="0" applyNumberFormat="1" applyBorder="1" applyAlignment="1">
      <alignment horizontal="center"/>
    </xf>
    <xf numFmtId="0" fontId="1" fillId="0" borderId="7" xfId="0" applyFont="1" applyBorder="1" applyAlignment="1">
      <alignment vertical="center"/>
    </xf>
    <xf numFmtId="0" fontId="5" fillId="0" borderId="15" xfId="0" applyFont="1" applyBorder="1" applyAlignment="1">
      <alignment horizontal="center"/>
    </xf>
    <xf numFmtId="0" fontId="14" fillId="0" borderId="1" xfId="0" applyFont="1" applyBorder="1"/>
    <xf numFmtId="0" fontId="0" fillId="2" borderId="12" xfId="0" applyFill="1" applyBorder="1" applyAlignment="1">
      <alignment horizontal="center"/>
    </xf>
    <xf numFmtId="14" fontId="0" fillId="2" borderId="11" xfId="0" applyNumberFormat="1" applyFill="1" applyBorder="1" applyAlignment="1">
      <alignment horizontal="center"/>
    </xf>
    <xf numFmtId="0" fontId="21" fillId="3" borderId="16" xfId="0" applyFont="1" applyFill="1" applyBorder="1" applyAlignment="1">
      <alignment horizontal="center" vertical="center"/>
    </xf>
    <xf numFmtId="165" fontId="0" fillId="0" borderId="15" xfId="2" applyNumberFormat="1" applyFont="1" applyFill="1" applyBorder="1" applyAlignment="1">
      <alignment horizontal="center"/>
    </xf>
    <xf numFmtId="164" fontId="19" fillId="6" borderId="23" xfId="1" applyNumberFormat="1" applyFont="1" applyFill="1" applyBorder="1" applyAlignment="1">
      <alignment horizontal="center" vertical="center"/>
    </xf>
    <xf numFmtId="0" fontId="6" fillId="7" borderId="6" xfId="0" applyFont="1" applyFill="1" applyBorder="1" applyAlignment="1">
      <alignment horizontal="center" vertical="center"/>
    </xf>
    <xf numFmtId="164" fontId="19" fillId="6" borderId="24" xfId="1" applyNumberFormat="1" applyFont="1" applyFill="1" applyBorder="1" applyAlignment="1">
      <alignment horizontal="center" vertical="center"/>
    </xf>
    <xf numFmtId="0" fontId="6" fillId="7" borderId="7" xfId="0" applyFont="1" applyFill="1" applyBorder="1" applyAlignment="1">
      <alignment horizontal="center" vertical="center"/>
    </xf>
    <xf numFmtId="164" fontId="19" fillId="6" borderId="25" xfId="1" applyNumberFormat="1" applyFont="1" applyFill="1" applyBorder="1" applyAlignment="1">
      <alignment horizontal="center" vertical="center"/>
    </xf>
    <xf numFmtId="0" fontId="22" fillId="0" borderId="0" xfId="0" applyFont="1"/>
    <xf numFmtId="0" fontId="19" fillId="6" borderId="25" xfId="1" applyNumberFormat="1" applyFont="1" applyFill="1" applyBorder="1" applyAlignment="1">
      <alignment horizontal="center" vertical="center"/>
    </xf>
    <xf numFmtId="0" fontId="23" fillId="0" borderId="0" xfId="0" applyFont="1"/>
    <xf numFmtId="164" fontId="24" fillId="6" borderId="22" xfId="1" applyNumberFormat="1" applyFont="1" applyFill="1" applyBorder="1" applyAlignment="1">
      <alignment horizontal="left" vertical="center"/>
    </xf>
    <xf numFmtId="164" fontId="24" fillId="6" borderId="23" xfId="1" applyNumberFormat="1" applyFont="1" applyFill="1" applyBorder="1" applyAlignment="1">
      <alignment horizontal="center" vertical="center"/>
    </xf>
    <xf numFmtId="164" fontId="25" fillId="8" borderId="25" xfId="1" applyNumberFormat="1" applyFont="1" applyFill="1" applyBorder="1" applyAlignment="1">
      <alignment horizontal="center" vertical="center"/>
    </xf>
    <xf numFmtId="164" fontId="26" fillId="8" borderId="24" xfId="1" applyNumberFormat="1" applyFont="1" applyFill="1" applyBorder="1" applyAlignment="1">
      <alignment horizontal="center" vertical="center"/>
    </xf>
    <xf numFmtId="0" fontId="19" fillId="6" borderId="25" xfId="1" quotePrefix="1" applyNumberFormat="1" applyFont="1" applyFill="1" applyBorder="1" applyAlignment="1">
      <alignment horizontal="center" vertical="center"/>
    </xf>
    <xf numFmtId="0" fontId="27" fillId="0" borderId="0" xfId="0" applyFont="1"/>
    <xf numFmtId="0" fontId="28" fillId="0" borderId="0" xfId="0" applyFont="1" applyAlignment="1">
      <alignment horizontal="center"/>
    </xf>
    <xf numFmtId="0" fontId="19" fillId="9" borderId="25" xfId="1" applyNumberFormat="1" applyFont="1" applyFill="1" applyBorder="1" applyAlignment="1">
      <alignment horizontal="center" vertical="center"/>
    </xf>
    <xf numFmtId="165" fontId="0" fillId="0" borderId="15" xfId="2" applyNumberFormat="1" applyFont="1" applyBorder="1" applyAlignment="1">
      <alignment horizontal="center"/>
    </xf>
    <xf numFmtId="0" fontId="0" fillId="3" borderId="14" xfId="0" applyFill="1" applyBorder="1" applyAlignment="1">
      <alignment horizontal="center" vertical="center" wrapText="1"/>
    </xf>
    <xf numFmtId="9" fontId="8" fillId="0" borderId="12" xfId="0" applyNumberFormat="1" applyFont="1" applyBorder="1" applyAlignment="1">
      <alignment horizontal="center"/>
    </xf>
    <xf numFmtId="164" fontId="19" fillId="9" borderId="25" xfId="1" applyNumberFormat="1" applyFont="1" applyFill="1" applyBorder="1" applyAlignment="1">
      <alignment horizontal="center" vertical="center"/>
    </xf>
    <xf numFmtId="164" fontId="19" fillId="9" borderId="24" xfId="1" applyNumberFormat="1" applyFont="1" applyFill="1" applyBorder="1" applyAlignment="1">
      <alignment horizontal="center" vertical="center"/>
    </xf>
    <xf numFmtId="165" fontId="0" fillId="0" borderId="0" xfId="0" applyNumberFormat="1" applyAlignment="1">
      <alignment horizontal="center"/>
    </xf>
    <xf numFmtId="44" fontId="0" fillId="0" borderId="0" xfId="2" applyFont="1" applyAlignment="1">
      <alignment horizontal="center"/>
    </xf>
    <xf numFmtId="14" fontId="8" fillId="0" borderId="0" xfId="0" applyNumberFormat="1" applyFont="1" applyAlignment="1">
      <alignment horizontal="center"/>
    </xf>
    <xf numFmtId="0" fontId="29" fillId="0" borderId="0" xfId="0" applyFont="1" applyAlignment="1">
      <alignment horizontal="center"/>
    </xf>
    <xf numFmtId="0" fontId="30" fillId="0" borderId="15" xfId="0" applyFont="1" applyBorder="1" applyAlignment="1">
      <alignment horizontal="center"/>
    </xf>
    <xf numFmtId="164" fontId="31" fillId="6" borderId="22" xfId="1" applyNumberFormat="1" applyFont="1" applyFill="1" applyBorder="1" applyAlignment="1">
      <alignment horizontal="center" vertical="center"/>
    </xf>
    <xf numFmtId="164" fontId="32" fillId="6" borderId="22" xfId="1" applyNumberFormat="1" applyFont="1" applyFill="1" applyBorder="1" applyAlignment="1">
      <alignment horizontal="center" vertical="center"/>
    </xf>
    <xf numFmtId="164" fontId="33" fillId="10" borderId="26" xfId="0" applyNumberFormat="1" applyFont="1" applyFill="1" applyBorder="1" applyAlignment="1">
      <alignment horizontal="center" vertical="center"/>
    </xf>
    <xf numFmtId="0" fontId="34" fillId="0" borderId="0" xfId="0" applyFont="1"/>
    <xf numFmtId="0" fontId="5" fillId="0" borderId="11" xfId="0" applyFont="1" applyBorder="1"/>
    <xf numFmtId="0" fontId="35" fillId="0" borderId="0" xfId="0" applyFont="1" applyAlignment="1">
      <alignment horizontal="center"/>
    </xf>
    <xf numFmtId="43" fontId="0" fillId="0" borderId="15" xfId="1" applyFont="1" applyBorder="1" applyAlignment="1">
      <alignment horizontal="center"/>
    </xf>
    <xf numFmtId="164" fontId="0" fillId="0" borderId="0" xfId="1" applyNumberFormat="1" applyFont="1"/>
    <xf numFmtId="165" fontId="0" fillId="0" borderId="0" xfId="2" applyNumberFormat="1" applyFont="1"/>
    <xf numFmtId="43" fontId="0" fillId="0" borderId="2" xfId="1" applyFont="1" applyBorder="1" applyAlignment="1">
      <alignment horizontal="center"/>
    </xf>
    <xf numFmtId="0" fontId="36" fillId="0" borderId="15" xfId="0" applyFont="1" applyBorder="1" applyAlignment="1">
      <alignment horizontal="center"/>
    </xf>
    <xf numFmtId="0" fontId="2" fillId="3" borderId="17" xfId="0" applyFont="1" applyFill="1" applyBorder="1" applyAlignment="1">
      <alignment horizontal="left" vertical="top" wrapText="1"/>
    </xf>
    <xf numFmtId="0" fontId="2" fillId="3" borderId="0" xfId="0" applyFont="1" applyFill="1" applyAlignment="1">
      <alignment horizontal="left" vertical="top" wrapText="1"/>
    </xf>
    <xf numFmtId="0" fontId="2" fillId="3" borderId="10" xfId="0" applyFont="1" applyFill="1" applyBorder="1" applyAlignment="1">
      <alignment horizontal="left" vertical="top" wrapText="1"/>
    </xf>
    <xf numFmtId="0" fontId="7" fillId="5" borderId="17" xfId="0" applyFont="1" applyFill="1" applyBorder="1" applyAlignment="1">
      <alignment horizontal="left" vertical="center" wrapText="1"/>
    </xf>
    <xf numFmtId="0" fontId="7" fillId="5" borderId="10" xfId="0" applyFont="1" applyFill="1" applyBorder="1" applyAlignment="1">
      <alignment horizontal="left" vertical="center" wrapText="1"/>
    </xf>
    <xf numFmtId="166" fontId="0" fillId="0" borderId="0" xfId="2" applyNumberFormat="1" applyFont="1"/>
  </cellXfs>
  <cellStyles count="3">
    <cellStyle name="Komma" xfId="1" builtinId="3"/>
    <cellStyle name="Standaard" xfId="0" builtinId="0"/>
    <cellStyle name="Valuta" xfId="2" builtinId="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microsoft.com/office/2017/10/relationships/person" Target="persons/person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2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1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Yannick Lammerts" id="{82460C49-6DA4-3B40-B8F5-948D2659F330}" userId="Yannick Lammerts" providerId="None"/>
  <person displayName="Yannick Lammerts | RAX Finance" id="{7A124F9A-A9A3-8842-8F17-9ABCA4100626}" userId="S::yannick@raxfinance.nl::327e8532-21ac-4c71-8843-5c15ccd99de2" providerId="AD"/>
</personList>
</file>

<file path=xl/theme/theme1.xml><?xml version="1.0" encoding="utf-8"?>
<a:theme xmlns:a="http://schemas.openxmlformats.org/drawingml/2006/main" name="Kantoorth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N1" dT="2025-01-02T15:26:46.82" personId="{82460C49-6DA4-3B40-B8F5-948D2659F330}" id="{AEA9C29A-24E9-B444-B072-0D12D532A11D}">
    <text>Navragen of er vernieuwingen zijn? Zo ja, dan kopie polis opsturen.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B3" dT="2026-01-11T16:31:22.87" personId="{7A124F9A-A9A3-8842-8F17-9ABCA4100626}" id="{CA67141B-31BC-1649-A50C-A6758C11677A}">
    <text>Moeten nu binnen zijn?</text>
  </threadedComment>
  <threadedComment ref="B25" dT="2026-01-11T16:26:36.49" personId="{7A124F9A-A9A3-8842-8F17-9ABCA4100626}" id="{8CD3786C-C02C-884A-A73B-4DF4951C33AE}">
    <text>Check na verlenging; datum nog aanpassen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2.xml"/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hyperlink" Target="mailto:jheijne@ered.nl" TargetMode="External"/><Relationship Id="rId3" Type="http://schemas.openxmlformats.org/officeDocument/2006/relationships/hyperlink" Target="mailto:bytheamstel@gmail.com" TargetMode="External"/><Relationship Id="rId7" Type="http://schemas.openxmlformats.org/officeDocument/2006/relationships/hyperlink" Target="mailto:hans.hogeslag@familybeef.nl" TargetMode="External"/><Relationship Id="rId2" Type="http://schemas.openxmlformats.org/officeDocument/2006/relationships/hyperlink" Target="mailto:joeri.schellekens@intospace.eu" TargetMode="External"/><Relationship Id="rId1" Type="http://schemas.openxmlformats.org/officeDocument/2006/relationships/hyperlink" Target="mailto:jheijne@ered.nl" TargetMode="External"/><Relationship Id="rId6" Type="http://schemas.openxmlformats.org/officeDocument/2006/relationships/hyperlink" Target="mailto:rogerkenbeek@gmail.com" TargetMode="External"/><Relationship Id="rId5" Type="http://schemas.openxmlformats.org/officeDocument/2006/relationships/hyperlink" Target="mailto:tomer@propertypartners.nl" TargetMode="External"/><Relationship Id="rId4" Type="http://schemas.openxmlformats.org/officeDocument/2006/relationships/hyperlink" Target="mailto:Martin@etm2004.com" TargetMode="Externa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hyperlink" Target="mailto:m.verhoeven@vanderwielbouw.nl" TargetMode="External"/><Relationship Id="rId2" Type="http://schemas.openxmlformats.org/officeDocument/2006/relationships/hyperlink" Target="mailto:bytheamstel@gmail.com" TargetMode="External"/><Relationship Id="rId1" Type="http://schemas.openxmlformats.org/officeDocument/2006/relationships/hyperlink" Target="mailto:linda@polderstaete.com" TargetMode="External"/><Relationship Id="rId6" Type="http://schemas.openxmlformats.org/officeDocument/2006/relationships/hyperlink" Target="mailto:Nicole@wiegliabeheer.nl" TargetMode="External"/><Relationship Id="rId5" Type="http://schemas.openxmlformats.org/officeDocument/2006/relationships/hyperlink" Target="mailto:hobie@meubitrend.com" TargetMode="External"/><Relationship Id="rId4" Type="http://schemas.openxmlformats.org/officeDocument/2006/relationships/hyperlink" Target="mailto:remmert@bakkers-hommen.n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C9EF8C-743F-7146-B867-597DD2EED9B4}">
  <dimension ref="A1:P102"/>
  <sheetViews>
    <sheetView workbookViewId="0">
      <pane ySplit="1" topLeftCell="A38" activePane="bottomLeft" state="frozen"/>
      <selection pane="bottomLeft" activeCell="A2" sqref="A2:A97"/>
    </sheetView>
  </sheetViews>
  <sheetFormatPr baseColWidth="10" defaultRowHeight="16" outlineLevelCol="1" x14ac:dyDescent="0.2"/>
  <cols>
    <col min="1" max="1" width="13.5" customWidth="1"/>
    <col min="2" max="2" width="56.33203125" bestFit="1" customWidth="1"/>
    <col min="3" max="3" width="17.5" customWidth="1"/>
    <col min="4" max="4" width="20.83203125" hidden="1" customWidth="1"/>
    <col min="5" max="5" width="30" hidden="1" customWidth="1"/>
    <col min="6" max="6" width="28.1640625" hidden="1" customWidth="1"/>
    <col min="7" max="7" width="17.5" customWidth="1"/>
    <col min="8" max="8" width="30" bestFit="1" customWidth="1"/>
    <col min="9" max="9" width="17.5" customWidth="1"/>
    <col min="10" max="10" width="33.33203125" customWidth="1"/>
    <col min="11" max="11" width="30" bestFit="1" customWidth="1"/>
    <col min="12" max="12" width="19.6640625" customWidth="1"/>
    <col min="13" max="13" width="17.5" hidden="1" customWidth="1" outlineLevel="1"/>
    <col min="14" max="14" width="30" hidden="1" customWidth="1" outlineLevel="1"/>
    <col min="15" max="15" width="20" hidden="1" customWidth="1" outlineLevel="1"/>
    <col min="16" max="16" width="20" customWidth="1" collapsed="1"/>
  </cols>
  <sheetData>
    <row r="1" spans="1:16" ht="17" thickBot="1" x14ac:dyDescent="0.25">
      <c r="A1" s="10" t="s">
        <v>0</v>
      </c>
      <c r="B1" s="10" t="s">
        <v>8</v>
      </c>
      <c r="C1" s="13" t="s">
        <v>7</v>
      </c>
      <c r="D1" s="11" t="s">
        <v>5</v>
      </c>
      <c r="E1" s="10" t="s">
        <v>77</v>
      </c>
      <c r="F1" s="12" t="s">
        <v>3</v>
      </c>
      <c r="G1" s="10" t="s">
        <v>4</v>
      </c>
      <c r="H1" s="10" t="s">
        <v>77</v>
      </c>
      <c r="I1" s="12" t="s">
        <v>3</v>
      </c>
      <c r="J1" s="11" t="s">
        <v>2</v>
      </c>
      <c r="K1" s="10" t="s">
        <v>77</v>
      </c>
      <c r="L1" s="12" t="s">
        <v>3</v>
      </c>
      <c r="M1" s="10" t="s">
        <v>1</v>
      </c>
      <c r="N1" s="10" t="s">
        <v>83</v>
      </c>
      <c r="O1" s="12" t="s">
        <v>3</v>
      </c>
      <c r="P1" s="2"/>
    </row>
    <row r="2" spans="1:16" ht="17" thickTop="1" x14ac:dyDescent="0.2">
      <c r="A2" s="42" t="s">
        <v>9</v>
      </c>
      <c r="B2" s="14" t="s">
        <v>10</v>
      </c>
      <c r="C2" s="15">
        <v>45748</v>
      </c>
      <c r="D2" s="5"/>
      <c r="E2" s="5"/>
      <c r="F2" s="9"/>
      <c r="G2" s="1" t="s">
        <v>73</v>
      </c>
      <c r="H2" s="17">
        <v>45733</v>
      </c>
      <c r="I2" s="6"/>
      <c r="J2" s="3"/>
      <c r="K2" s="1"/>
      <c r="L2" s="6"/>
      <c r="M2" s="3" t="s">
        <v>6</v>
      </c>
      <c r="N2" s="8">
        <v>45659</v>
      </c>
      <c r="O2" s="9"/>
      <c r="P2" s="2"/>
    </row>
    <row r="3" spans="1:16" x14ac:dyDescent="0.2">
      <c r="A3" s="41"/>
      <c r="B3" s="5"/>
      <c r="C3" s="7"/>
      <c r="D3" s="5"/>
      <c r="E3" s="5"/>
      <c r="F3" s="9"/>
      <c r="G3" s="1" t="s">
        <v>74</v>
      </c>
      <c r="H3" s="17">
        <v>45825</v>
      </c>
      <c r="I3" s="72"/>
      <c r="J3" s="3"/>
      <c r="K3" s="1"/>
      <c r="L3" s="6"/>
      <c r="M3" s="3"/>
      <c r="N3" s="8"/>
      <c r="O3" s="9"/>
      <c r="P3" s="2"/>
    </row>
    <row r="4" spans="1:16" x14ac:dyDescent="0.2">
      <c r="A4" s="41"/>
      <c r="B4" s="5"/>
      <c r="C4" s="7"/>
      <c r="D4" s="5"/>
      <c r="E4" s="5"/>
      <c r="F4" s="5"/>
      <c r="G4" s="3" t="s">
        <v>75</v>
      </c>
      <c r="H4" s="17">
        <v>45917</v>
      </c>
      <c r="I4" s="6"/>
      <c r="J4" s="3"/>
      <c r="K4" s="1"/>
      <c r="L4" s="6"/>
      <c r="M4" s="3"/>
      <c r="N4" s="8"/>
      <c r="O4" s="9"/>
      <c r="P4" s="2"/>
    </row>
    <row r="5" spans="1:16" x14ac:dyDescent="0.2">
      <c r="A5" s="43"/>
      <c r="B5" s="26"/>
      <c r="C5" s="27"/>
      <c r="D5" s="20"/>
      <c r="E5" s="21"/>
      <c r="F5" s="22"/>
      <c r="G5" s="21" t="s">
        <v>76</v>
      </c>
      <c r="H5" s="23">
        <v>46008</v>
      </c>
      <c r="I5" s="22"/>
      <c r="J5" s="20"/>
      <c r="K5" s="21"/>
      <c r="L5" s="22"/>
      <c r="M5" s="20"/>
      <c r="N5" s="24"/>
      <c r="O5" s="25"/>
    </row>
    <row r="6" spans="1:16" x14ac:dyDescent="0.2">
      <c r="A6" s="42" t="s">
        <v>11</v>
      </c>
      <c r="B6" s="14" t="s">
        <v>12</v>
      </c>
      <c r="C6" s="16">
        <v>46113</v>
      </c>
      <c r="D6" s="3" t="s">
        <v>79</v>
      </c>
      <c r="E6" s="17">
        <v>45705</v>
      </c>
      <c r="F6" s="6"/>
      <c r="G6" s="1" t="s">
        <v>73</v>
      </c>
      <c r="H6" s="17">
        <v>45733</v>
      </c>
      <c r="I6" s="6"/>
      <c r="J6" s="3" t="s">
        <v>78</v>
      </c>
      <c r="K6" s="17">
        <v>45839</v>
      </c>
      <c r="L6" s="6"/>
      <c r="M6" s="3" t="s">
        <v>6</v>
      </c>
      <c r="N6" s="8">
        <v>45659</v>
      </c>
      <c r="O6" s="4"/>
    </row>
    <row r="7" spans="1:16" x14ac:dyDescent="0.2">
      <c r="A7" s="42"/>
      <c r="B7" s="14"/>
      <c r="C7" s="16"/>
      <c r="D7" s="3"/>
      <c r="E7" s="17"/>
      <c r="F7" s="6"/>
      <c r="G7" s="1" t="s">
        <v>74</v>
      </c>
      <c r="H7" s="17">
        <v>45825</v>
      </c>
      <c r="I7" s="72"/>
      <c r="J7" s="3"/>
      <c r="K7" s="1"/>
      <c r="L7" s="6"/>
      <c r="M7" s="3"/>
      <c r="N7" s="8"/>
      <c r="O7" s="4"/>
    </row>
    <row r="8" spans="1:16" x14ac:dyDescent="0.2">
      <c r="A8" s="42"/>
      <c r="B8" s="14"/>
      <c r="C8" s="16"/>
      <c r="D8" s="3"/>
      <c r="E8" s="1"/>
      <c r="F8" s="6"/>
      <c r="G8" s="1" t="s">
        <v>75</v>
      </c>
      <c r="H8" s="17">
        <v>45917</v>
      </c>
      <c r="I8" s="6"/>
      <c r="J8" s="3"/>
      <c r="K8" s="1"/>
      <c r="L8" s="6"/>
      <c r="M8" s="3"/>
      <c r="N8" s="8"/>
      <c r="O8" s="4"/>
    </row>
    <row r="9" spans="1:16" x14ac:dyDescent="0.2">
      <c r="A9" s="44"/>
      <c r="B9" s="18"/>
      <c r="C9" s="19"/>
      <c r="D9" s="20"/>
      <c r="E9" s="21"/>
      <c r="F9" s="22"/>
      <c r="G9" s="21" t="s">
        <v>76</v>
      </c>
      <c r="H9" s="23">
        <v>46008</v>
      </c>
      <c r="I9" s="22"/>
      <c r="J9" s="20"/>
      <c r="K9" s="21"/>
      <c r="L9" s="22"/>
      <c r="M9" s="20"/>
      <c r="N9" s="24"/>
      <c r="O9" s="25"/>
    </row>
    <row r="10" spans="1:16" x14ac:dyDescent="0.2">
      <c r="A10" s="45" t="s">
        <v>13</v>
      </c>
      <c r="B10" s="29" t="s">
        <v>14</v>
      </c>
      <c r="C10" s="30">
        <v>45747</v>
      </c>
      <c r="D10" s="31"/>
      <c r="E10" s="32"/>
      <c r="F10" s="33"/>
      <c r="G10" s="32"/>
      <c r="H10" s="32"/>
      <c r="I10" s="33"/>
      <c r="J10" s="31"/>
      <c r="K10" s="32"/>
      <c r="L10" s="33"/>
      <c r="M10" s="31" t="s">
        <v>6</v>
      </c>
      <c r="N10" s="34">
        <v>45659</v>
      </c>
      <c r="O10" s="35"/>
    </row>
    <row r="11" spans="1:16" x14ac:dyDescent="0.2">
      <c r="A11" s="45" t="s">
        <v>15</v>
      </c>
      <c r="B11" s="28" t="s">
        <v>16</v>
      </c>
      <c r="C11" s="30">
        <v>45935</v>
      </c>
      <c r="D11" s="31" t="s">
        <v>80</v>
      </c>
      <c r="E11" s="36">
        <v>45521</v>
      </c>
      <c r="F11" s="33" t="s">
        <v>111</v>
      </c>
      <c r="G11" s="32"/>
      <c r="H11" s="32"/>
      <c r="I11" s="33"/>
      <c r="J11" s="31"/>
      <c r="K11" s="32"/>
      <c r="L11" s="33"/>
      <c r="M11" s="31" t="s">
        <v>6</v>
      </c>
      <c r="N11" s="34">
        <v>45659</v>
      </c>
      <c r="O11" s="35"/>
    </row>
    <row r="12" spans="1:16" x14ac:dyDescent="0.2">
      <c r="A12" s="45" t="s">
        <v>17</v>
      </c>
      <c r="B12" s="28" t="s">
        <v>18</v>
      </c>
      <c r="C12" s="30">
        <v>45900</v>
      </c>
      <c r="D12" s="31"/>
      <c r="E12" s="32"/>
      <c r="F12" s="33"/>
      <c r="G12" s="32"/>
      <c r="H12" s="32"/>
      <c r="I12" s="33"/>
      <c r="J12" s="31"/>
      <c r="K12" s="32"/>
      <c r="L12" s="33"/>
      <c r="M12" s="31" t="s">
        <v>6</v>
      </c>
      <c r="N12" s="34">
        <v>45659</v>
      </c>
      <c r="O12" s="35"/>
    </row>
    <row r="13" spans="1:16" x14ac:dyDescent="0.2">
      <c r="A13" s="45" t="s">
        <v>19</v>
      </c>
      <c r="B13" s="28" t="s">
        <v>20</v>
      </c>
      <c r="C13" s="30">
        <v>45752</v>
      </c>
      <c r="D13" s="31"/>
      <c r="E13" s="32"/>
      <c r="F13" s="33"/>
      <c r="G13" s="32"/>
      <c r="H13" s="32"/>
      <c r="I13" s="33"/>
      <c r="J13" s="31"/>
      <c r="K13" s="32"/>
      <c r="L13" s="33"/>
      <c r="M13" s="31" t="s">
        <v>6</v>
      </c>
      <c r="N13" s="34">
        <v>45659</v>
      </c>
      <c r="O13" s="35"/>
    </row>
    <row r="14" spans="1:16" x14ac:dyDescent="0.2">
      <c r="A14" s="46" t="s">
        <v>21</v>
      </c>
      <c r="B14" s="29" t="s">
        <v>22</v>
      </c>
      <c r="C14" s="30">
        <v>46018</v>
      </c>
      <c r="D14" s="31"/>
      <c r="E14" s="32"/>
      <c r="F14" s="33"/>
      <c r="G14" s="32"/>
      <c r="H14" s="32"/>
      <c r="I14" s="33"/>
      <c r="J14" s="31"/>
      <c r="K14" s="32"/>
      <c r="L14" s="33"/>
      <c r="M14" s="31" t="s">
        <v>6</v>
      </c>
      <c r="N14" s="34">
        <v>45659</v>
      </c>
      <c r="O14" s="35"/>
    </row>
    <row r="15" spans="1:16" x14ac:dyDescent="0.2">
      <c r="A15" s="45" t="s">
        <v>23</v>
      </c>
      <c r="B15" s="28" t="s">
        <v>24</v>
      </c>
      <c r="C15" s="30">
        <v>46142</v>
      </c>
      <c r="D15" s="31" t="s">
        <v>80</v>
      </c>
      <c r="E15" s="37">
        <v>45733</v>
      </c>
      <c r="F15" s="33" t="s">
        <v>117</v>
      </c>
      <c r="G15" s="31"/>
      <c r="H15" s="32"/>
      <c r="I15" s="33"/>
      <c r="J15" s="31" t="s">
        <v>78</v>
      </c>
      <c r="K15" s="37">
        <v>45839</v>
      </c>
      <c r="L15" s="33"/>
      <c r="M15" s="31" t="s">
        <v>6</v>
      </c>
      <c r="N15" s="34">
        <v>45659</v>
      </c>
      <c r="O15" s="35"/>
    </row>
    <row r="16" spans="1:16" x14ac:dyDescent="0.2">
      <c r="A16" s="46" t="s">
        <v>25</v>
      </c>
      <c r="B16" s="29" t="s">
        <v>26</v>
      </c>
      <c r="C16" s="30">
        <v>46458</v>
      </c>
      <c r="D16" s="31" t="s">
        <v>80</v>
      </c>
      <c r="E16" s="37">
        <v>45683</v>
      </c>
      <c r="F16" s="33" t="s">
        <v>117</v>
      </c>
      <c r="G16" s="32"/>
      <c r="H16" s="32"/>
      <c r="I16" s="33"/>
      <c r="J16" s="31" t="s">
        <v>78</v>
      </c>
      <c r="K16" s="37">
        <v>45839</v>
      </c>
      <c r="L16" s="33"/>
      <c r="M16" s="31" t="s">
        <v>6</v>
      </c>
      <c r="N16" s="34">
        <v>45659</v>
      </c>
      <c r="O16" s="35"/>
    </row>
    <row r="17" spans="1:15" x14ac:dyDescent="0.2">
      <c r="A17" s="46" t="s">
        <v>27</v>
      </c>
      <c r="B17" s="29" t="s">
        <v>28</v>
      </c>
      <c r="C17" s="30">
        <v>45870</v>
      </c>
      <c r="D17" s="31"/>
      <c r="E17" s="32"/>
      <c r="F17" s="33"/>
      <c r="G17" s="32"/>
      <c r="H17" s="32"/>
      <c r="I17" s="33"/>
      <c r="J17" s="31"/>
      <c r="K17" s="32"/>
      <c r="L17" s="33"/>
      <c r="M17" s="31" t="s">
        <v>6</v>
      </c>
      <c r="N17" s="34">
        <v>45659</v>
      </c>
      <c r="O17" s="35"/>
    </row>
    <row r="18" spans="1:15" x14ac:dyDescent="0.2">
      <c r="A18" s="46" t="s">
        <v>29</v>
      </c>
      <c r="B18" s="29" t="s">
        <v>30</v>
      </c>
      <c r="C18" s="30">
        <v>45839</v>
      </c>
      <c r="D18" s="31"/>
      <c r="E18" s="32"/>
      <c r="F18" s="33"/>
      <c r="G18" s="32"/>
      <c r="H18" s="32"/>
      <c r="I18" s="33"/>
      <c r="J18" s="31" t="s">
        <v>81</v>
      </c>
      <c r="K18" s="37">
        <v>45901</v>
      </c>
      <c r="L18" s="33"/>
      <c r="M18" s="31" t="s">
        <v>6</v>
      </c>
      <c r="N18" s="34">
        <v>45659</v>
      </c>
      <c r="O18" s="35"/>
    </row>
    <row r="19" spans="1:15" x14ac:dyDescent="0.2">
      <c r="A19" s="46" t="s">
        <v>31</v>
      </c>
      <c r="B19" s="29" t="s">
        <v>32</v>
      </c>
      <c r="C19" s="30">
        <v>45836</v>
      </c>
      <c r="D19" s="31"/>
      <c r="E19" s="32"/>
      <c r="F19" s="33"/>
      <c r="G19" s="32"/>
      <c r="H19" s="32"/>
      <c r="I19" s="33"/>
      <c r="J19" s="31"/>
      <c r="K19" s="32"/>
      <c r="L19" s="33"/>
      <c r="M19" s="31" t="s">
        <v>6</v>
      </c>
      <c r="N19" s="34">
        <v>45659</v>
      </c>
      <c r="O19" s="35"/>
    </row>
    <row r="20" spans="1:15" x14ac:dyDescent="0.2">
      <c r="A20" s="47" t="s">
        <v>33</v>
      </c>
      <c r="B20" t="s">
        <v>34</v>
      </c>
      <c r="C20" s="16">
        <v>45717</v>
      </c>
      <c r="D20" s="3"/>
      <c r="E20" s="1"/>
      <c r="F20" s="6"/>
      <c r="G20" s="1" t="s">
        <v>73</v>
      </c>
      <c r="H20" s="17">
        <v>45733</v>
      </c>
      <c r="I20" s="6"/>
      <c r="J20" s="3"/>
      <c r="K20" s="1"/>
      <c r="L20" s="6"/>
      <c r="M20" s="3" t="s">
        <v>6</v>
      </c>
      <c r="N20" s="8">
        <v>45659</v>
      </c>
      <c r="O20" s="4"/>
    </row>
    <row r="21" spans="1:15" x14ac:dyDescent="0.2">
      <c r="A21" s="47"/>
      <c r="C21" s="16"/>
      <c r="D21" s="3"/>
      <c r="E21" s="1"/>
      <c r="F21" s="6"/>
      <c r="G21" s="1" t="s">
        <v>74</v>
      </c>
      <c r="H21" s="17">
        <v>45825</v>
      </c>
      <c r="I21" s="6"/>
      <c r="J21" s="3"/>
      <c r="K21" s="1"/>
      <c r="L21" s="6"/>
      <c r="M21" s="3"/>
      <c r="N21" s="8"/>
      <c r="O21" s="4"/>
    </row>
    <row r="22" spans="1:15" x14ac:dyDescent="0.2">
      <c r="A22" s="47"/>
      <c r="C22" s="16"/>
      <c r="D22" s="3"/>
      <c r="E22" s="1"/>
      <c r="F22" s="6"/>
      <c r="G22" s="1" t="s">
        <v>75</v>
      </c>
      <c r="H22" s="17">
        <v>45917</v>
      </c>
      <c r="I22" s="6"/>
      <c r="J22" s="3"/>
      <c r="K22" s="1"/>
      <c r="L22" s="6"/>
      <c r="M22" s="3"/>
      <c r="N22" s="8"/>
      <c r="O22" s="4"/>
    </row>
    <row r="23" spans="1:15" x14ac:dyDescent="0.2">
      <c r="A23" s="43"/>
      <c r="B23" s="26"/>
      <c r="C23" s="19"/>
      <c r="D23" s="20"/>
      <c r="E23" s="21"/>
      <c r="F23" s="22"/>
      <c r="G23" s="21" t="s">
        <v>76</v>
      </c>
      <c r="H23" s="23">
        <v>46008</v>
      </c>
      <c r="I23" s="22"/>
      <c r="J23" s="20"/>
      <c r="K23" s="21"/>
      <c r="L23" s="22"/>
      <c r="M23" s="20"/>
      <c r="N23" s="24"/>
      <c r="O23" s="25"/>
    </row>
    <row r="24" spans="1:15" x14ac:dyDescent="0.2">
      <c r="A24" s="46" t="s">
        <v>35</v>
      </c>
      <c r="B24" s="29" t="s">
        <v>36</v>
      </c>
      <c r="C24" s="30">
        <v>46450</v>
      </c>
      <c r="D24" s="31" t="s">
        <v>80</v>
      </c>
      <c r="E24" s="37">
        <v>45675</v>
      </c>
      <c r="F24" s="73" t="s">
        <v>112</v>
      </c>
      <c r="G24" s="32"/>
      <c r="H24" s="32"/>
      <c r="I24" s="33"/>
      <c r="J24" s="31" t="s">
        <v>78</v>
      </c>
      <c r="K24" s="37">
        <v>45839</v>
      </c>
      <c r="L24" s="33"/>
      <c r="M24" s="31" t="s">
        <v>6</v>
      </c>
      <c r="N24" s="34">
        <v>45659</v>
      </c>
      <c r="O24" s="35"/>
    </row>
    <row r="25" spans="1:15" x14ac:dyDescent="0.2">
      <c r="A25" s="47" t="s">
        <v>37</v>
      </c>
      <c r="B25" t="s">
        <v>38</v>
      </c>
      <c r="C25" s="16">
        <v>46570</v>
      </c>
      <c r="D25" s="3" t="s">
        <v>80</v>
      </c>
      <c r="E25" s="17">
        <v>45795</v>
      </c>
      <c r="F25" s="74" t="s">
        <v>113</v>
      </c>
      <c r="G25" s="1" t="s">
        <v>73</v>
      </c>
      <c r="H25" s="17">
        <v>45733</v>
      </c>
      <c r="I25" s="6"/>
      <c r="J25" s="3" t="s">
        <v>78</v>
      </c>
      <c r="K25" s="38">
        <v>45839</v>
      </c>
      <c r="L25" s="6"/>
      <c r="M25" s="3" t="s">
        <v>6</v>
      </c>
      <c r="N25" s="8">
        <v>45659</v>
      </c>
      <c r="O25" s="4"/>
    </row>
    <row r="26" spans="1:15" x14ac:dyDescent="0.2">
      <c r="A26" s="47"/>
      <c r="C26" s="16"/>
      <c r="D26" s="3"/>
      <c r="E26" s="17"/>
      <c r="F26" s="6"/>
      <c r="G26" s="1" t="s">
        <v>74</v>
      </c>
      <c r="H26" s="17">
        <v>45825</v>
      </c>
      <c r="I26" s="6" t="s">
        <v>110</v>
      </c>
      <c r="J26" s="3"/>
      <c r="K26" s="17"/>
      <c r="L26" s="6"/>
      <c r="M26" s="3"/>
      <c r="N26" s="8"/>
      <c r="O26" s="4"/>
    </row>
    <row r="27" spans="1:15" x14ac:dyDescent="0.2">
      <c r="A27" s="47"/>
      <c r="C27" s="16"/>
      <c r="D27" s="3"/>
      <c r="E27" s="17"/>
      <c r="F27" s="6"/>
      <c r="G27" s="1" t="s">
        <v>75</v>
      </c>
      <c r="H27" s="17">
        <v>45917</v>
      </c>
      <c r="I27" s="6"/>
      <c r="J27" s="3"/>
      <c r="K27" s="17"/>
      <c r="L27" s="6"/>
      <c r="M27" s="3"/>
      <c r="N27" s="8"/>
      <c r="O27" s="4"/>
    </row>
    <row r="28" spans="1:15" x14ac:dyDescent="0.2">
      <c r="A28" s="43"/>
      <c r="B28" s="26"/>
      <c r="C28" s="19"/>
      <c r="D28" s="20"/>
      <c r="E28" s="23"/>
      <c r="F28" s="22"/>
      <c r="G28" s="21" t="s">
        <v>76</v>
      </c>
      <c r="H28" s="23">
        <v>46008</v>
      </c>
      <c r="I28" s="22"/>
      <c r="J28" s="20"/>
      <c r="K28" s="23"/>
      <c r="L28" s="22"/>
      <c r="M28" s="20"/>
      <c r="N28" s="24"/>
      <c r="O28" s="25"/>
    </row>
    <row r="29" spans="1:15" s="69" customFormat="1" ht="34" x14ac:dyDescent="0.2">
      <c r="A29" s="60" t="s">
        <v>39</v>
      </c>
      <c r="B29" s="61" t="s">
        <v>101</v>
      </c>
      <c r="C29" s="62">
        <v>45931</v>
      </c>
      <c r="D29" s="63" t="s">
        <v>80</v>
      </c>
      <c r="E29" s="64">
        <v>45886</v>
      </c>
      <c r="F29" s="75" t="s">
        <v>114</v>
      </c>
      <c r="G29" s="66"/>
      <c r="H29" s="66"/>
      <c r="I29" s="65"/>
      <c r="J29" s="63" t="s">
        <v>78</v>
      </c>
      <c r="K29" s="64">
        <v>45839</v>
      </c>
      <c r="L29" s="65"/>
      <c r="M29" s="63" t="s">
        <v>6</v>
      </c>
      <c r="N29" s="67">
        <v>45659</v>
      </c>
      <c r="O29" s="68"/>
    </row>
    <row r="30" spans="1:15" x14ac:dyDescent="0.2">
      <c r="A30" s="47" t="s">
        <v>40</v>
      </c>
      <c r="B30" t="s">
        <v>41</v>
      </c>
      <c r="C30" s="16">
        <v>45778</v>
      </c>
      <c r="D30" s="3"/>
      <c r="E30" s="1"/>
      <c r="F30" s="6"/>
      <c r="G30" s="1" t="s">
        <v>73</v>
      </c>
      <c r="H30" s="17">
        <v>45733</v>
      </c>
      <c r="I30" s="6"/>
      <c r="J30" s="3" t="s">
        <v>78</v>
      </c>
      <c r="K30" s="38">
        <v>45839</v>
      </c>
      <c r="L30" s="6"/>
      <c r="M30" s="3" t="s">
        <v>6</v>
      </c>
      <c r="N30" s="8">
        <v>45659</v>
      </c>
      <c r="O30" s="4"/>
    </row>
    <row r="31" spans="1:15" x14ac:dyDescent="0.2">
      <c r="A31" s="47"/>
      <c r="C31" s="16"/>
      <c r="D31" s="3"/>
      <c r="E31" s="1"/>
      <c r="F31" s="6"/>
      <c r="G31" s="1" t="s">
        <v>74</v>
      </c>
      <c r="H31" s="17">
        <v>45825</v>
      </c>
      <c r="I31" s="6"/>
      <c r="J31" s="3"/>
      <c r="K31" s="1"/>
      <c r="L31" s="6"/>
      <c r="M31" s="3"/>
      <c r="O31" s="4"/>
    </row>
    <row r="32" spans="1:15" x14ac:dyDescent="0.2">
      <c r="A32" s="47"/>
      <c r="C32" s="16"/>
      <c r="D32" s="3"/>
      <c r="E32" s="1"/>
      <c r="F32" s="6"/>
      <c r="G32" s="1" t="s">
        <v>75</v>
      </c>
      <c r="H32" s="17">
        <v>45917</v>
      </c>
      <c r="I32" s="6"/>
      <c r="J32" s="3"/>
      <c r="K32" s="1"/>
      <c r="L32" s="6"/>
      <c r="M32" s="3"/>
      <c r="O32" s="4"/>
    </row>
    <row r="33" spans="1:15" x14ac:dyDescent="0.2">
      <c r="A33" s="43"/>
      <c r="B33" s="26"/>
      <c r="C33" s="19"/>
      <c r="D33" s="20"/>
      <c r="E33" s="21"/>
      <c r="F33" s="22"/>
      <c r="G33" s="21" t="s">
        <v>76</v>
      </c>
      <c r="H33" s="23">
        <v>46008</v>
      </c>
      <c r="I33" s="22"/>
      <c r="J33" s="20"/>
      <c r="K33" s="21"/>
      <c r="L33" s="22"/>
      <c r="M33" s="20"/>
      <c r="N33" s="26"/>
      <c r="O33" s="25"/>
    </row>
    <row r="34" spans="1:15" x14ac:dyDescent="0.2">
      <c r="A34" s="47" t="s">
        <v>42</v>
      </c>
      <c r="B34" t="s">
        <v>43</v>
      </c>
      <c r="C34" s="16">
        <v>46564</v>
      </c>
      <c r="D34" s="3" t="s">
        <v>80</v>
      </c>
      <c r="E34" s="17">
        <v>45789</v>
      </c>
      <c r="F34" s="74" t="s">
        <v>115</v>
      </c>
      <c r="G34" s="1" t="s">
        <v>73</v>
      </c>
      <c r="H34" s="17">
        <v>45733</v>
      </c>
      <c r="I34" s="6"/>
      <c r="J34" s="3" t="s">
        <v>78</v>
      </c>
      <c r="K34" s="38">
        <v>45839</v>
      </c>
      <c r="L34" s="6"/>
      <c r="M34" s="3" t="s">
        <v>6</v>
      </c>
      <c r="N34" s="8">
        <v>45659</v>
      </c>
      <c r="O34" s="4"/>
    </row>
    <row r="35" spans="1:15" x14ac:dyDescent="0.2">
      <c r="A35" s="47"/>
      <c r="C35" s="16"/>
      <c r="D35" s="3"/>
      <c r="E35" s="1"/>
      <c r="F35" s="6"/>
      <c r="G35" s="1" t="s">
        <v>74</v>
      </c>
      <c r="H35" s="17">
        <v>45825</v>
      </c>
      <c r="I35" s="72"/>
      <c r="J35" s="3"/>
      <c r="K35" s="1"/>
      <c r="L35" s="6"/>
      <c r="M35" s="3"/>
      <c r="O35" s="4"/>
    </row>
    <row r="36" spans="1:15" x14ac:dyDescent="0.2">
      <c r="A36" s="47"/>
      <c r="C36" s="16"/>
      <c r="D36" s="3"/>
      <c r="E36" s="1"/>
      <c r="F36" s="6"/>
      <c r="G36" s="1" t="s">
        <v>75</v>
      </c>
      <c r="H36" s="17">
        <v>45917</v>
      </c>
      <c r="I36" s="6"/>
      <c r="J36" s="3"/>
      <c r="K36" s="1"/>
      <c r="L36" s="6"/>
      <c r="M36" s="3"/>
      <c r="O36" s="4"/>
    </row>
    <row r="37" spans="1:15" x14ac:dyDescent="0.2">
      <c r="A37" s="43"/>
      <c r="B37" s="26"/>
      <c r="C37" s="19"/>
      <c r="D37" s="20"/>
      <c r="E37" s="21"/>
      <c r="F37" s="22"/>
      <c r="G37" s="21" t="s">
        <v>76</v>
      </c>
      <c r="H37" s="23">
        <v>46008</v>
      </c>
      <c r="I37" s="22"/>
      <c r="J37" s="20"/>
      <c r="K37" s="21"/>
      <c r="L37" s="22"/>
      <c r="M37" s="20"/>
      <c r="N37" s="26"/>
      <c r="O37" s="25"/>
    </row>
    <row r="38" spans="1:15" x14ac:dyDescent="0.2">
      <c r="A38" s="47" t="s">
        <v>44</v>
      </c>
      <c r="B38" t="s">
        <v>45</v>
      </c>
      <c r="C38" s="16">
        <v>45978</v>
      </c>
      <c r="D38" s="3"/>
      <c r="E38" s="1"/>
      <c r="F38" s="6"/>
      <c r="G38" s="1" t="s">
        <v>73</v>
      </c>
      <c r="H38" s="17">
        <v>45733</v>
      </c>
      <c r="I38" s="6"/>
      <c r="J38" s="3"/>
      <c r="K38" s="1"/>
      <c r="L38" s="6"/>
      <c r="M38" s="3" t="s">
        <v>6</v>
      </c>
      <c r="N38" s="8">
        <v>45659</v>
      </c>
      <c r="O38" s="4"/>
    </row>
    <row r="39" spans="1:15" x14ac:dyDescent="0.2">
      <c r="A39" s="47"/>
      <c r="C39" s="16"/>
      <c r="D39" s="3"/>
      <c r="E39" s="1"/>
      <c r="F39" s="6"/>
      <c r="G39" s="1" t="s">
        <v>74</v>
      </c>
      <c r="H39" s="17">
        <v>45825</v>
      </c>
      <c r="I39" s="72"/>
      <c r="J39" s="3"/>
      <c r="K39" s="1"/>
      <c r="L39" s="6"/>
      <c r="M39" s="3"/>
      <c r="O39" s="4"/>
    </row>
    <row r="40" spans="1:15" x14ac:dyDescent="0.2">
      <c r="A40" s="47"/>
      <c r="C40" s="16"/>
      <c r="D40" s="3"/>
      <c r="E40" s="1"/>
      <c r="F40" s="6"/>
      <c r="G40" s="1" t="s">
        <v>75</v>
      </c>
      <c r="H40" s="17">
        <v>45917</v>
      </c>
      <c r="I40" s="6"/>
      <c r="J40" s="3"/>
      <c r="K40" s="1"/>
      <c r="L40" s="6"/>
      <c r="M40" s="3"/>
      <c r="O40" s="4"/>
    </row>
    <row r="41" spans="1:15" x14ac:dyDescent="0.2">
      <c r="A41" s="43"/>
      <c r="B41" s="26"/>
      <c r="C41" s="19"/>
      <c r="D41" s="20"/>
      <c r="E41" s="21"/>
      <c r="F41" s="22"/>
      <c r="G41" s="21" t="s">
        <v>76</v>
      </c>
      <c r="H41" s="23">
        <v>46008</v>
      </c>
      <c r="I41" s="22"/>
      <c r="J41" s="20"/>
      <c r="K41" s="21"/>
      <c r="L41" s="22"/>
      <c r="M41" s="20"/>
      <c r="N41" s="26"/>
      <c r="O41" s="25"/>
    </row>
    <row r="42" spans="1:15" x14ac:dyDescent="0.2">
      <c r="A42" s="47" t="s">
        <v>46</v>
      </c>
      <c r="B42" t="s">
        <v>47</v>
      </c>
      <c r="C42" s="16">
        <v>45881</v>
      </c>
      <c r="D42" s="3"/>
      <c r="E42" s="1"/>
      <c r="F42" s="6"/>
      <c r="G42" s="1" t="s">
        <v>73</v>
      </c>
      <c r="H42" s="17">
        <v>45733</v>
      </c>
      <c r="I42" s="6"/>
      <c r="J42" s="3"/>
      <c r="K42" s="1"/>
      <c r="L42" s="6"/>
      <c r="M42" s="3" t="s">
        <v>6</v>
      </c>
      <c r="N42" s="8">
        <v>45659</v>
      </c>
      <c r="O42" s="4"/>
    </row>
    <row r="43" spans="1:15" x14ac:dyDescent="0.2">
      <c r="A43" s="47"/>
      <c r="B43" s="40" t="s">
        <v>84</v>
      </c>
      <c r="C43" s="16"/>
      <c r="D43" s="3"/>
      <c r="E43" s="1"/>
      <c r="F43" s="6"/>
      <c r="G43" s="1" t="s">
        <v>74</v>
      </c>
      <c r="H43" s="17">
        <v>45825</v>
      </c>
      <c r="I43" s="72"/>
      <c r="J43" s="3"/>
      <c r="K43" s="1"/>
      <c r="L43" s="6"/>
      <c r="M43" s="3"/>
      <c r="O43" s="4"/>
    </row>
    <row r="44" spans="1:15" x14ac:dyDescent="0.2">
      <c r="A44" s="47"/>
      <c r="C44" s="16"/>
      <c r="D44" s="3"/>
      <c r="E44" s="1"/>
      <c r="F44" s="6"/>
      <c r="G44" s="1" t="s">
        <v>75</v>
      </c>
      <c r="H44" s="17">
        <v>45917</v>
      </c>
      <c r="I44" s="6"/>
      <c r="J44" s="3"/>
      <c r="K44" s="1"/>
      <c r="L44" s="6"/>
      <c r="M44" s="3"/>
      <c r="O44" s="4"/>
    </row>
    <row r="45" spans="1:15" x14ac:dyDescent="0.2">
      <c r="A45" s="43"/>
      <c r="B45" s="26"/>
      <c r="C45" s="19"/>
      <c r="D45" s="20"/>
      <c r="E45" s="21"/>
      <c r="F45" s="22"/>
      <c r="G45" s="21" t="s">
        <v>76</v>
      </c>
      <c r="H45" s="23">
        <v>46008</v>
      </c>
      <c r="I45" s="22"/>
      <c r="J45" s="20"/>
      <c r="K45" s="21"/>
      <c r="L45" s="22"/>
      <c r="M45" s="20"/>
      <c r="N45" s="26"/>
      <c r="O45" s="25"/>
    </row>
    <row r="46" spans="1:15" x14ac:dyDescent="0.2">
      <c r="A46" s="47" t="s">
        <v>48</v>
      </c>
      <c r="B46" t="s">
        <v>49</v>
      </c>
      <c r="C46" s="16">
        <v>46632</v>
      </c>
      <c r="D46" s="3" t="s">
        <v>82</v>
      </c>
      <c r="E46" s="17">
        <v>46190</v>
      </c>
      <c r="F46" s="6"/>
      <c r="G46" s="1" t="s">
        <v>73</v>
      </c>
      <c r="H46" s="17">
        <v>45733</v>
      </c>
      <c r="I46" s="6"/>
      <c r="J46" s="3" t="s">
        <v>78</v>
      </c>
      <c r="K46" s="38">
        <v>45839</v>
      </c>
      <c r="L46" s="6"/>
      <c r="M46" s="3" t="s">
        <v>6</v>
      </c>
      <c r="N46" s="8">
        <v>45659</v>
      </c>
      <c r="O46" s="4"/>
    </row>
    <row r="47" spans="1:15" x14ac:dyDescent="0.2">
      <c r="A47" s="47"/>
      <c r="C47" s="16"/>
      <c r="D47" s="3"/>
      <c r="E47" s="1"/>
      <c r="F47" s="6"/>
      <c r="G47" s="1" t="s">
        <v>74</v>
      </c>
      <c r="H47" s="17">
        <v>45825</v>
      </c>
      <c r="I47" s="6" t="s">
        <v>110</v>
      </c>
      <c r="J47" s="3"/>
      <c r="K47" s="1"/>
      <c r="L47" s="6"/>
      <c r="M47" s="3"/>
      <c r="O47" s="4"/>
    </row>
    <row r="48" spans="1:15" x14ac:dyDescent="0.2">
      <c r="A48" s="47"/>
      <c r="C48" s="16"/>
      <c r="D48" s="3"/>
      <c r="E48" s="1"/>
      <c r="F48" s="6"/>
      <c r="G48" s="1" t="s">
        <v>75</v>
      </c>
      <c r="H48" s="17">
        <v>45917</v>
      </c>
      <c r="I48" s="6"/>
      <c r="J48" s="3"/>
      <c r="K48" s="1"/>
      <c r="L48" s="6"/>
      <c r="M48" s="3"/>
      <c r="O48" s="4"/>
    </row>
    <row r="49" spans="1:15" x14ac:dyDescent="0.2">
      <c r="A49" s="43"/>
      <c r="B49" s="26"/>
      <c r="C49" s="19"/>
      <c r="D49" s="20"/>
      <c r="E49" s="21"/>
      <c r="F49" s="22"/>
      <c r="G49" s="21" t="s">
        <v>76</v>
      </c>
      <c r="H49" s="23">
        <v>46008</v>
      </c>
      <c r="I49" s="22"/>
      <c r="J49" s="20"/>
      <c r="K49" s="21"/>
      <c r="L49" s="22"/>
      <c r="M49" s="20"/>
      <c r="N49" s="26"/>
      <c r="O49" s="25"/>
    </row>
    <row r="50" spans="1:15" x14ac:dyDescent="0.2">
      <c r="A50" s="46" t="s">
        <v>50</v>
      </c>
      <c r="B50" s="29" t="s">
        <v>51</v>
      </c>
      <c r="C50" s="30">
        <v>46692</v>
      </c>
      <c r="D50" s="31"/>
      <c r="E50" s="32"/>
      <c r="F50" s="33"/>
      <c r="G50" s="32"/>
      <c r="H50" s="32"/>
      <c r="I50" s="33"/>
      <c r="J50" s="31"/>
      <c r="K50" s="32"/>
      <c r="L50" s="33"/>
      <c r="M50" s="31" t="s">
        <v>6</v>
      </c>
      <c r="N50" s="34">
        <v>45659</v>
      </c>
      <c r="O50" s="35"/>
    </row>
    <row r="51" spans="1:15" ht="17" x14ac:dyDescent="0.2">
      <c r="A51" s="46" t="s">
        <v>52</v>
      </c>
      <c r="B51" s="39" t="s">
        <v>53</v>
      </c>
      <c r="C51" s="30">
        <v>45778</v>
      </c>
      <c r="D51" s="31"/>
      <c r="E51" s="32"/>
      <c r="F51" s="33"/>
      <c r="G51" s="32"/>
      <c r="H51" s="32"/>
      <c r="I51" s="33"/>
      <c r="J51" s="31"/>
      <c r="K51" s="32"/>
      <c r="L51" s="33"/>
      <c r="M51" s="31" t="s">
        <v>6</v>
      </c>
      <c r="N51" s="34">
        <v>45659</v>
      </c>
      <c r="O51" s="35"/>
    </row>
    <row r="52" spans="1:15" ht="17" x14ac:dyDescent="0.2">
      <c r="A52" s="71" t="s">
        <v>102</v>
      </c>
      <c r="B52" s="39" t="s">
        <v>103</v>
      </c>
      <c r="C52" s="30">
        <v>46906</v>
      </c>
      <c r="D52" s="31"/>
      <c r="E52" s="32"/>
      <c r="F52" s="33"/>
      <c r="G52" s="32"/>
      <c r="H52" s="32"/>
      <c r="I52" s="33"/>
      <c r="J52" s="31" t="s">
        <v>104</v>
      </c>
      <c r="K52" s="37">
        <v>45992</v>
      </c>
      <c r="L52" s="33"/>
      <c r="M52" s="3"/>
      <c r="N52" s="8"/>
      <c r="O52" s="4"/>
    </row>
    <row r="53" spans="1:15" x14ac:dyDescent="0.2">
      <c r="A53" s="70" t="s">
        <v>54</v>
      </c>
      <c r="B53" t="s">
        <v>55</v>
      </c>
      <c r="C53" s="16">
        <v>46291</v>
      </c>
      <c r="D53" s="3"/>
      <c r="E53" s="17"/>
      <c r="F53" s="6"/>
      <c r="G53" s="1" t="s">
        <v>73</v>
      </c>
      <c r="H53" s="17">
        <v>45733</v>
      </c>
      <c r="I53" s="6"/>
      <c r="J53" s="3" t="s">
        <v>78</v>
      </c>
      <c r="K53" s="17">
        <v>45839</v>
      </c>
      <c r="L53" s="6"/>
      <c r="M53" s="3" t="s">
        <v>6</v>
      </c>
      <c r="N53" s="8">
        <v>45659</v>
      </c>
      <c r="O53" s="4"/>
    </row>
    <row r="54" spans="1:15" x14ac:dyDescent="0.2">
      <c r="A54" s="48"/>
      <c r="C54" s="16"/>
      <c r="D54" s="3"/>
      <c r="E54" s="1"/>
      <c r="F54" s="6"/>
      <c r="G54" s="1" t="s">
        <v>74</v>
      </c>
      <c r="H54" s="17">
        <v>45825</v>
      </c>
      <c r="I54" s="6" t="s">
        <v>110</v>
      </c>
      <c r="J54" s="3"/>
      <c r="K54" s="1"/>
      <c r="L54" s="6"/>
      <c r="M54" s="3"/>
      <c r="O54" s="4"/>
    </row>
    <row r="55" spans="1:15" x14ac:dyDescent="0.2">
      <c r="A55" s="48"/>
      <c r="C55" s="16"/>
      <c r="D55" s="3"/>
      <c r="E55" s="1"/>
      <c r="F55" s="6"/>
      <c r="G55" s="1" t="s">
        <v>75</v>
      </c>
      <c r="H55" s="17">
        <v>45917</v>
      </c>
      <c r="I55" s="6"/>
      <c r="J55" s="3"/>
      <c r="K55" s="1"/>
      <c r="L55" s="6"/>
      <c r="M55" s="3"/>
      <c r="O55" s="4"/>
    </row>
    <row r="56" spans="1:15" x14ac:dyDescent="0.2">
      <c r="A56" s="49"/>
      <c r="B56" s="26"/>
      <c r="C56" s="19"/>
      <c r="D56" s="20"/>
      <c r="E56" s="21"/>
      <c r="F56" s="22"/>
      <c r="G56" s="21" t="s">
        <v>76</v>
      </c>
      <c r="H56" s="23">
        <v>46008</v>
      </c>
      <c r="I56" s="22"/>
      <c r="J56" s="20"/>
      <c r="K56" s="21"/>
      <c r="L56" s="22"/>
      <c r="M56" s="20"/>
      <c r="N56" s="26"/>
      <c r="O56" s="25"/>
    </row>
    <row r="57" spans="1:15" ht="17" x14ac:dyDescent="0.2">
      <c r="A57" s="46" t="s">
        <v>56</v>
      </c>
      <c r="B57" s="39" t="s">
        <v>53</v>
      </c>
      <c r="C57" s="30">
        <v>45754</v>
      </c>
      <c r="D57" s="31"/>
      <c r="E57" s="32"/>
      <c r="F57" s="33"/>
      <c r="G57" s="32"/>
      <c r="H57" s="32"/>
      <c r="I57" s="33"/>
      <c r="J57" s="31"/>
      <c r="K57" s="32"/>
      <c r="L57" s="33"/>
      <c r="M57" s="31" t="s">
        <v>6</v>
      </c>
      <c r="N57" s="34">
        <v>45659</v>
      </c>
      <c r="O57" s="35"/>
    </row>
    <row r="58" spans="1:15" x14ac:dyDescent="0.2">
      <c r="A58" s="47" t="s">
        <v>57</v>
      </c>
      <c r="B58" t="s">
        <v>58</v>
      </c>
      <c r="C58" s="16">
        <v>45965</v>
      </c>
      <c r="D58" s="3"/>
      <c r="E58" s="1"/>
      <c r="F58" s="6"/>
      <c r="G58" s="1" t="s">
        <v>73</v>
      </c>
      <c r="H58" s="17">
        <v>45733</v>
      </c>
      <c r="I58" s="6"/>
      <c r="J58" s="3"/>
      <c r="K58" s="1"/>
      <c r="L58" s="6"/>
      <c r="M58" s="3" t="s">
        <v>6</v>
      </c>
      <c r="N58" s="8">
        <v>45659</v>
      </c>
      <c r="O58" s="4"/>
    </row>
    <row r="59" spans="1:15" x14ac:dyDescent="0.2">
      <c r="A59" s="47"/>
      <c r="C59" s="16"/>
      <c r="D59" s="3"/>
      <c r="E59" s="1"/>
      <c r="F59" s="6"/>
      <c r="G59" s="1" t="s">
        <v>74</v>
      </c>
      <c r="H59" s="17">
        <v>45825</v>
      </c>
      <c r="I59" s="72"/>
      <c r="J59" s="3"/>
      <c r="K59" s="1"/>
      <c r="L59" s="6"/>
      <c r="M59" s="3"/>
      <c r="O59" s="4"/>
    </row>
    <row r="60" spans="1:15" x14ac:dyDescent="0.2">
      <c r="A60" s="47"/>
      <c r="C60" s="16"/>
      <c r="D60" s="3"/>
      <c r="E60" s="1"/>
      <c r="F60" s="6"/>
      <c r="G60" s="1" t="s">
        <v>75</v>
      </c>
      <c r="H60" s="17">
        <v>45917</v>
      </c>
      <c r="I60" s="6"/>
      <c r="J60" s="3"/>
      <c r="K60" s="1"/>
      <c r="L60" s="6"/>
      <c r="M60" s="3"/>
      <c r="O60" s="4"/>
    </row>
    <row r="61" spans="1:15" x14ac:dyDescent="0.2">
      <c r="A61" s="43"/>
      <c r="B61" s="26"/>
      <c r="C61" s="19"/>
      <c r="D61" s="20"/>
      <c r="E61" s="21"/>
      <c r="F61" s="22"/>
      <c r="G61" s="21" t="s">
        <v>76</v>
      </c>
      <c r="H61" s="23">
        <v>46008</v>
      </c>
      <c r="I61" s="22"/>
      <c r="J61" s="20"/>
      <c r="K61" s="21"/>
      <c r="L61" s="22"/>
      <c r="M61" s="20"/>
      <c r="N61" s="26"/>
      <c r="O61" s="25"/>
    </row>
    <row r="62" spans="1:15" x14ac:dyDescent="0.2">
      <c r="A62" s="43" t="s">
        <v>105</v>
      </c>
      <c r="B62" s="26" t="s">
        <v>106</v>
      </c>
      <c r="C62" s="19">
        <v>46446</v>
      </c>
      <c r="D62" s="3" t="s">
        <v>107</v>
      </c>
      <c r="E62" s="17">
        <v>46248</v>
      </c>
      <c r="F62" s="22"/>
      <c r="G62" s="21"/>
      <c r="H62" s="23"/>
      <c r="I62" s="22"/>
      <c r="J62" s="31" t="s">
        <v>78</v>
      </c>
      <c r="K62" s="37">
        <v>45839</v>
      </c>
      <c r="L62" s="22"/>
      <c r="M62" s="20"/>
      <c r="N62" s="26"/>
      <c r="O62" s="25"/>
    </row>
    <row r="63" spans="1:15" x14ac:dyDescent="0.2">
      <c r="A63" s="46" t="s">
        <v>59</v>
      </c>
      <c r="B63" s="29" t="s">
        <v>60</v>
      </c>
      <c r="C63" s="30">
        <v>45805</v>
      </c>
      <c r="D63" s="31"/>
      <c r="E63" s="32"/>
      <c r="F63" s="33"/>
      <c r="G63" s="32"/>
      <c r="H63" s="32"/>
      <c r="I63" s="33"/>
      <c r="J63" s="31"/>
      <c r="K63" s="32"/>
      <c r="L63" s="33"/>
      <c r="M63" s="31" t="s">
        <v>6</v>
      </c>
      <c r="N63" s="34">
        <v>45659</v>
      </c>
      <c r="O63" s="35"/>
    </row>
    <row r="64" spans="1:15" x14ac:dyDescent="0.2">
      <c r="A64" s="46" t="s">
        <v>61</v>
      </c>
      <c r="B64" s="29" t="s">
        <v>62</v>
      </c>
      <c r="C64" s="30">
        <v>46002</v>
      </c>
      <c r="D64" s="31"/>
      <c r="E64" s="32"/>
      <c r="F64" s="33"/>
      <c r="G64" s="32"/>
      <c r="H64" s="32"/>
      <c r="I64" s="33"/>
      <c r="J64" s="31"/>
      <c r="K64" s="32"/>
      <c r="L64" s="33"/>
      <c r="M64" s="31" t="s">
        <v>6</v>
      </c>
      <c r="N64" s="34">
        <v>45659</v>
      </c>
      <c r="O64" s="35"/>
    </row>
    <row r="65" spans="1:15" x14ac:dyDescent="0.2">
      <c r="A65" s="46" t="s">
        <v>63</v>
      </c>
      <c r="B65" s="29" t="s">
        <v>64</v>
      </c>
      <c r="C65" s="30">
        <v>45950</v>
      </c>
      <c r="D65" s="31"/>
      <c r="E65" s="32"/>
      <c r="F65" s="33"/>
      <c r="G65" s="32"/>
      <c r="H65" s="32"/>
      <c r="I65" s="33"/>
      <c r="J65" s="31"/>
      <c r="K65" s="32"/>
      <c r="L65" s="33"/>
      <c r="M65" s="31" t="s">
        <v>6</v>
      </c>
      <c r="N65" s="34">
        <v>45659</v>
      </c>
      <c r="O65" s="35"/>
    </row>
    <row r="66" spans="1:15" x14ac:dyDescent="0.2">
      <c r="A66" s="46" t="s">
        <v>65</v>
      </c>
      <c r="B66" s="29" t="s">
        <v>66</v>
      </c>
      <c r="C66" s="30">
        <v>45995</v>
      </c>
      <c r="D66" s="31"/>
      <c r="E66" s="32"/>
      <c r="F66" s="33"/>
      <c r="G66" s="32"/>
      <c r="H66" s="32"/>
      <c r="I66" s="33"/>
      <c r="J66" s="31"/>
      <c r="K66" s="32"/>
      <c r="L66" s="33"/>
      <c r="M66" s="31" t="s">
        <v>6</v>
      </c>
      <c r="N66" s="34">
        <v>45659</v>
      </c>
      <c r="O66" s="35"/>
    </row>
    <row r="67" spans="1:15" x14ac:dyDescent="0.2">
      <c r="A67" s="46" t="s">
        <v>67</v>
      </c>
      <c r="B67" s="29" t="s">
        <v>68</v>
      </c>
      <c r="C67" s="30">
        <v>46203</v>
      </c>
      <c r="D67" s="31" t="s">
        <v>85</v>
      </c>
      <c r="E67" s="37">
        <v>45795</v>
      </c>
      <c r="F67" s="73" t="s">
        <v>116</v>
      </c>
      <c r="G67" s="32"/>
      <c r="H67" s="32"/>
      <c r="I67" s="33"/>
      <c r="J67" s="31" t="s">
        <v>78</v>
      </c>
      <c r="K67" s="37">
        <v>45839</v>
      </c>
      <c r="L67" s="33"/>
      <c r="M67" s="31" t="s">
        <v>6</v>
      </c>
      <c r="N67" s="34">
        <v>45659</v>
      </c>
      <c r="O67" s="35"/>
    </row>
    <row r="68" spans="1:15" x14ac:dyDescent="0.2">
      <c r="A68" s="47" t="s">
        <v>69</v>
      </c>
      <c r="B68" t="s">
        <v>70</v>
      </c>
      <c r="C68" s="16">
        <v>45824</v>
      </c>
      <c r="D68" s="3"/>
      <c r="E68" s="1"/>
      <c r="F68" s="6"/>
      <c r="G68" s="1" t="s">
        <v>73</v>
      </c>
      <c r="H68" s="17">
        <v>45733</v>
      </c>
      <c r="I68" s="6"/>
      <c r="J68" s="3"/>
      <c r="K68" s="1"/>
      <c r="L68" s="6"/>
      <c r="M68" s="3" t="s">
        <v>6</v>
      </c>
      <c r="N68" s="8">
        <v>45659</v>
      </c>
      <c r="O68" s="4"/>
    </row>
    <row r="69" spans="1:15" x14ac:dyDescent="0.2">
      <c r="A69" s="47"/>
      <c r="C69" s="16"/>
      <c r="D69" s="3"/>
      <c r="E69" s="1"/>
      <c r="F69" s="6"/>
      <c r="G69" s="1" t="s">
        <v>74</v>
      </c>
      <c r="H69" s="17">
        <v>45825</v>
      </c>
      <c r="I69" s="6"/>
      <c r="J69" s="3"/>
      <c r="K69" s="1"/>
      <c r="L69" s="6"/>
      <c r="M69" s="3"/>
      <c r="O69" s="4"/>
    </row>
    <row r="70" spans="1:15" x14ac:dyDescent="0.2">
      <c r="A70" s="47"/>
      <c r="C70" s="16"/>
      <c r="D70" s="3"/>
      <c r="E70" s="1"/>
      <c r="F70" s="6"/>
      <c r="G70" s="1" t="s">
        <v>75</v>
      </c>
      <c r="H70" s="17">
        <v>45917</v>
      </c>
      <c r="I70" s="6"/>
      <c r="J70" s="3"/>
      <c r="K70" s="1"/>
      <c r="L70" s="6"/>
      <c r="M70" s="3"/>
      <c r="O70" s="4"/>
    </row>
    <row r="71" spans="1:15" x14ac:dyDescent="0.2">
      <c r="A71" s="43"/>
      <c r="B71" s="26"/>
      <c r="C71" s="19"/>
      <c r="D71" s="20"/>
      <c r="E71" s="21"/>
      <c r="F71" s="22"/>
      <c r="G71" s="21" t="s">
        <v>76</v>
      </c>
      <c r="H71" s="23">
        <v>46008</v>
      </c>
      <c r="I71" s="22"/>
      <c r="J71" s="20"/>
      <c r="K71" s="21"/>
      <c r="L71" s="22"/>
      <c r="M71" s="20"/>
      <c r="N71" s="26"/>
      <c r="O71" s="25"/>
    </row>
    <row r="72" spans="1:15" x14ac:dyDescent="0.2">
      <c r="A72" s="43" t="s">
        <v>71</v>
      </c>
      <c r="B72" s="26" t="s">
        <v>72</v>
      </c>
      <c r="C72" s="19">
        <v>45831</v>
      </c>
      <c r="D72" s="20"/>
      <c r="E72" s="21"/>
      <c r="F72" s="22"/>
      <c r="G72" s="21"/>
      <c r="H72" s="21"/>
      <c r="I72" s="22"/>
      <c r="J72" s="20"/>
      <c r="K72" s="21"/>
      <c r="L72" s="22"/>
      <c r="M72" s="20" t="s">
        <v>6</v>
      </c>
      <c r="N72" s="24">
        <v>45659</v>
      </c>
      <c r="O72" s="25"/>
    </row>
    <row r="73" spans="1:15" x14ac:dyDescent="0.2">
      <c r="A73" s="43" t="s">
        <v>108</v>
      </c>
      <c r="B73" s="26" t="s">
        <v>109</v>
      </c>
      <c r="C73" s="19">
        <v>46444</v>
      </c>
      <c r="D73" s="20"/>
      <c r="E73" s="21"/>
      <c r="F73" s="22"/>
      <c r="G73" s="21"/>
      <c r="H73" s="21"/>
      <c r="I73" s="22"/>
      <c r="J73" s="20"/>
      <c r="K73" s="21"/>
      <c r="L73" s="22"/>
      <c r="M73" s="20"/>
      <c r="N73" s="24"/>
      <c r="O73" s="25"/>
    </row>
    <row r="74" spans="1:15" x14ac:dyDescent="0.2">
      <c r="A74" s="46" t="s">
        <v>86</v>
      </c>
      <c r="B74" s="29" t="s">
        <v>93</v>
      </c>
      <c r="C74" s="30">
        <v>46113</v>
      </c>
      <c r="D74" s="31"/>
      <c r="E74" s="32"/>
      <c r="F74" s="33"/>
      <c r="G74" s="32"/>
      <c r="H74" s="32"/>
      <c r="I74" s="33"/>
      <c r="J74" s="31" t="s">
        <v>78</v>
      </c>
      <c r="K74" s="37">
        <v>46204</v>
      </c>
      <c r="L74" s="33"/>
      <c r="M74" s="31"/>
      <c r="N74" s="34"/>
      <c r="O74" s="35"/>
    </row>
    <row r="75" spans="1:15" x14ac:dyDescent="0.2">
      <c r="A75" s="46" t="s">
        <v>87</v>
      </c>
      <c r="B75" s="29" t="s">
        <v>94</v>
      </c>
      <c r="C75" s="30">
        <v>46136</v>
      </c>
      <c r="D75" s="31" t="s">
        <v>95</v>
      </c>
      <c r="E75" s="37">
        <v>46127</v>
      </c>
      <c r="F75" s="33"/>
      <c r="G75" s="32"/>
      <c r="H75" s="32"/>
      <c r="I75" s="33"/>
      <c r="J75" s="31" t="s">
        <v>78</v>
      </c>
      <c r="K75" s="37">
        <v>46204</v>
      </c>
      <c r="L75" s="33"/>
      <c r="M75" s="1"/>
    </row>
    <row r="76" spans="1:15" x14ac:dyDescent="0.2">
      <c r="A76" s="46" t="s">
        <v>88</v>
      </c>
      <c r="B76" s="29" t="s">
        <v>96</v>
      </c>
      <c r="C76" s="30">
        <v>46154</v>
      </c>
      <c r="D76" s="31" t="s">
        <v>95</v>
      </c>
      <c r="E76" s="37">
        <v>46127</v>
      </c>
      <c r="F76" s="33"/>
      <c r="G76" s="32"/>
      <c r="H76" s="32"/>
      <c r="I76" s="33"/>
      <c r="J76" s="31" t="s">
        <v>78</v>
      </c>
      <c r="K76" s="37">
        <v>46204</v>
      </c>
      <c r="L76" s="33"/>
      <c r="M76" s="1"/>
    </row>
    <row r="77" spans="1:15" x14ac:dyDescent="0.2">
      <c r="A77" s="213" t="s">
        <v>89</v>
      </c>
      <c r="B77" s="50" t="s">
        <v>98</v>
      </c>
      <c r="C77" s="51">
        <v>46154</v>
      </c>
      <c r="D77" s="54"/>
      <c r="E77" s="38"/>
      <c r="F77" s="54"/>
      <c r="G77" s="52" t="s">
        <v>73</v>
      </c>
      <c r="H77" s="17">
        <v>45733</v>
      </c>
      <c r="I77" s="6"/>
      <c r="J77" s="3" t="s">
        <v>78</v>
      </c>
      <c r="K77" s="38">
        <v>46204</v>
      </c>
      <c r="L77" s="53"/>
      <c r="M77" s="1"/>
    </row>
    <row r="78" spans="1:15" x14ac:dyDescent="0.2">
      <c r="A78" s="214"/>
      <c r="C78" s="55"/>
      <c r="G78" s="3" t="s">
        <v>74</v>
      </c>
      <c r="H78" s="17">
        <v>45825</v>
      </c>
      <c r="I78" s="72"/>
      <c r="J78" s="3"/>
      <c r="K78" s="1"/>
      <c r="L78" s="4"/>
      <c r="M78" s="1"/>
    </row>
    <row r="79" spans="1:15" x14ac:dyDescent="0.2">
      <c r="A79" s="214"/>
      <c r="C79" s="55"/>
      <c r="G79" s="3" t="s">
        <v>75</v>
      </c>
      <c r="H79" s="17">
        <v>45917</v>
      </c>
      <c r="I79" s="6"/>
      <c r="J79" s="3"/>
      <c r="K79" s="1"/>
      <c r="L79" s="4"/>
      <c r="M79" s="1"/>
    </row>
    <row r="80" spans="1:15" x14ac:dyDescent="0.2">
      <c r="A80" s="215"/>
      <c r="B80" s="26"/>
      <c r="C80" s="56"/>
      <c r="D80" s="26"/>
      <c r="E80" s="26"/>
      <c r="F80" s="26"/>
      <c r="G80" s="20" t="s">
        <v>76</v>
      </c>
      <c r="H80" s="23">
        <v>46008</v>
      </c>
      <c r="I80" s="22"/>
      <c r="J80" s="20"/>
      <c r="K80" s="21"/>
      <c r="L80" s="25"/>
      <c r="M80" s="1"/>
    </row>
    <row r="81" spans="1:13" x14ac:dyDescent="0.2">
      <c r="A81" s="213" t="s">
        <v>90</v>
      </c>
      <c r="B81" s="50" t="s">
        <v>97</v>
      </c>
      <c r="C81" s="51">
        <v>46358</v>
      </c>
      <c r="D81" s="54"/>
      <c r="E81" s="38"/>
      <c r="F81" s="54"/>
      <c r="G81" s="52" t="s">
        <v>73</v>
      </c>
      <c r="H81" s="38">
        <v>45733</v>
      </c>
      <c r="I81" s="53"/>
      <c r="J81" s="54" t="s">
        <v>78</v>
      </c>
      <c r="K81" s="38">
        <v>46204</v>
      </c>
      <c r="L81" s="53"/>
      <c r="M81" s="1"/>
    </row>
    <row r="82" spans="1:13" x14ac:dyDescent="0.2">
      <c r="A82" s="214"/>
      <c r="C82" s="55"/>
      <c r="G82" s="3" t="s">
        <v>74</v>
      </c>
      <c r="H82" s="17">
        <v>45825</v>
      </c>
      <c r="I82" s="72"/>
      <c r="L82" s="4"/>
    </row>
    <row r="83" spans="1:13" x14ac:dyDescent="0.2">
      <c r="A83" s="214"/>
      <c r="C83" s="55"/>
      <c r="G83" s="3" t="s">
        <v>75</v>
      </c>
      <c r="H83" s="17">
        <v>45917</v>
      </c>
      <c r="I83" s="4"/>
      <c r="L83" s="4"/>
    </row>
    <row r="84" spans="1:13" x14ac:dyDescent="0.2">
      <c r="A84" s="215"/>
      <c r="B84" s="26"/>
      <c r="C84" s="56"/>
      <c r="D84" s="26"/>
      <c r="E84" s="26"/>
      <c r="F84" s="26"/>
      <c r="G84" s="20" t="s">
        <v>76</v>
      </c>
      <c r="H84" s="23">
        <v>46008</v>
      </c>
      <c r="I84" s="25"/>
      <c r="J84" s="26"/>
      <c r="K84" s="26"/>
      <c r="L84" s="25"/>
    </row>
    <row r="85" spans="1:13" x14ac:dyDescent="0.2">
      <c r="A85" s="57" t="s">
        <v>91</v>
      </c>
      <c r="B85" s="58" t="s">
        <v>99</v>
      </c>
      <c r="C85" s="51">
        <v>46369</v>
      </c>
      <c r="D85" s="54" t="s">
        <v>80</v>
      </c>
      <c r="E85" s="38">
        <v>46174</v>
      </c>
      <c r="F85" s="54"/>
      <c r="G85" s="52" t="s">
        <v>73</v>
      </c>
      <c r="H85" s="38">
        <v>45733</v>
      </c>
      <c r="I85" s="53"/>
      <c r="J85" s="54" t="s">
        <v>78</v>
      </c>
      <c r="K85" s="38">
        <v>46204</v>
      </c>
      <c r="L85" s="53"/>
    </row>
    <row r="86" spans="1:13" x14ac:dyDescent="0.2">
      <c r="A86" s="47"/>
      <c r="B86" s="4"/>
      <c r="C86" s="55"/>
      <c r="G86" s="3" t="s">
        <v>74</v>
      </c>
      <c r="H86" s="17">
        <v>45825</v>
      </c>
      <c r="I86" s="72"/>
      <c r="L86" s="4"/>
    </row>
    <row r="87" spans="1:13" x14ac:dyDescent="0.2">
      <c r="A87" s="59"/>
      <c r="B87" s="4"/>
      <c r="C87" s="55"/>
      <c r="G87" s="3" t="s">
        <v>75</v>
      </c>
      <c r="H87" s="17">
        <v>45917</v>
      </c>
      <c r="I87" s="4"/>
      <c r="L87" s="4"/>
    </row>
    <row r="88" spans="1:13" x14ac:dyDescent="0.2">
      <c r="A88" s="43"/>
      <c r="B88" s="25"/>
      <c r="C88" s="56"/>
      <c r="D88" s="26"/>
      <c r="E88" s="26"/>
      <c r="F88" s="26"/>
      <c r="G88" s="20" t="s">
        <v>76</v>
      </c>
      <c r="H88" s="23">
        <v>46008</v>
      </c>
      <c r="I88" s="25"/>
      <c r="J88" s="26"/>
      <c r="K88" s="26"/>
      <c r="L88" s="25"/>
    </row>
    <row r="89" spans="1:13" x14ac:dyDescent="0.2">
      <c r="A89" s="57" t="s">
        <v>92</v>
      </c>
      <c r="B89" s="58" t="s">
        <v>100</v>
      </c>
      <c r="C89" s="51">
        <v>46571</v>
      </c>
      <c r="D89" s="54"/>
      <c r="E89" s="38"/>
      <c r="F89" s="54"/>
      <c r="G89" s="52" t="s">
        <v>73</v>
      </c>
      <c r="H89" s="38">
        <v>45733</v>
      </c>
      <c r="I89" s="53"/>
      <c r="J89" s="54" t="s">
        <v>78</v>
      </c>
      <c r="K89" s="38">
        <v>46204</v>
      </c>
      <c r="L89" s="53"/>
    </row>
    <row r="90" spans="1:13" x14ac:dyDescent="0.2">
      <c r="A90" s="47"/>
      <c r="B90" s="4"/>
      <c r="C90" s="55"/>
      <c r="G90" s="3" t="s">
        <v>74</v>
      </c>
      <c r="H90" s="17">
        <v>45825</v>
      </c>
      <c r="I90" s="72"/>
      <c r="L90" s="4"/>
    </row>
    <row r="91" spans="1:13" x14ac:dyDescent="0.2">
      <c r="A91" s="47"/>
      <c r="B91" s="4"/>
      <c r="C91" s="55"/>
      <c r="G91" s="3" t="s">
        <v>75</v>
      </c>
      <c r="H91" s="17">
        <v>45917</v>
      </c>
      <c r="I91" s="4"/>
      <c r="L91" s="4"/>
    </row>
    <row r="92" spans="1:13" x14ac:dyDescent="0.2">
      <c r="A92" s="43"/>
      <c r="B92" s="25"/>
      <c r="C92" s="56"/>
      <c r="D92" s="26"/>
      <c r="E92" s="26"/>
      <c r="F92" s="26"/>
      <c r="G92" s="20" t="s">
        <v>76</v>
      </c>
      <c r="H92" s="23">
        <v>46008</v>
      </c>
      <c r="I92" s="25"/>
      <c r="J92" s="26"/>
      <c r="K92" s="26"/>
      <c r="L92" s="25"/>
    </row>
    <row r="93" spans="1:13" x14ac:dyDescent="0.2">
      <c r="A93" s="87" t="s">
        <v>130</v>
      </c>
      <c r="B93" s="94" t="s">
        <v>135</v>
      </c>
    </row>
    <row r="94" spans="1:13" x14ac:dyDescent="0.2">
      <c r="A94" s="87" t="s">
        <v>131</v>
      </c>
      <c r="B94" s="94" t="s">
        <v>136</v>
      </c>
    </row>
    <row r="95" spans="1:13" x14ac:dyDescent="0.2">
      <c r="A95" s="87" t="s">
        <v>132</v>
      </c>
      <c r="B95" s="94" t="s">
        <v>137</v>
      </c>
    </row>
    <row r="96" spans="1:13" x14ac:dyDescent="0.2">
      <c r="A96" s="87" t="s">
        <v>133</v>
      </c>
      <c r="B96" s="94" t="s">
        <v>138</v>
      </c>
    </row>
    <row r="97" spans="1:5" x14ac:dyDescent="0.2">
      <c r="A97" s="87" t="s">
        <v>134</v>
      </c>
      <c r="B97" s="94" t="s">
        <v>139</v>
      </c>
    </row>
    <row r="100" spans="1:5" x14ac:dyDescent="0.2">
      <c r="E100" s="2" t="s">
        <v>118</v>
      </c>
    </row>
    <row r="102" spans="1:5" x14ac:dyDescent="0.2">
      <c r="E102" s="2" t="s">
        <v>119</v>
      </c>
    </row>
  </sheetData>
  <autoFilter ref="A1:P92" xr:uid="{E6C9EF8C-743F-7146-B867-597DD2EED9B4}"/>
  <mergeCells count="2">
    <mergeCell ref="A81:A84"/>
    <mergeCell ref="A77:A80"/>
  </mergeCells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62EE67-28B3-074E-B5F3-0460701A2D5E}">
  <sheetPr>
    <tabColor theme="4" tint="0.59999389629810485"/>
  </sheetPr>
  <dimension ref="A1:J53"/>
  <sheetViews>
    <sheetView showGridLines="0" topLeftCell="C1" workbookViewId="0">
      <selection activeCell="F29" sqref="F29"/>
    </sheetView>
  </sheetViews>
  <sheetFormatPr baseColWidth="10" defaultRowHeight="16" outlineLevelCol="1" x14ac:dyDescent="0.2"/>
  <cols>
    <col min="1" max="1" width="37" customWidth="1"/>
    <col min="2" max="2" width="56.83203125" bestFit="1" customWidth="1"/>
    <col min="3" max="3" width="17" style="1" customWidth="1" outlineLevel="1"/>
    <col min="4" max="4" width="23.6640625" customWidth="1"/>
    <col min="5" max="5" width="78.5" bestFit="1" customWidth="1"/>
    <col min="6" max="6" width="41.83203125" customWidth="1" outlineLevel="1"/>
    <col min="7" max="9" width="29.6640625" customWidth="1" outlineLevel="1"/>
    <col min="10" max="10" width="50" customWidth="1"/>
  </cols>
  <sheetData>
    <row r="1" spans="1:10" ht="17" thickBot="1" x14ac:dyDescent="0.25">
      <c r="A1" s="76" t="s">
        <v>0</v>
      </c>
      <c r="B1" s="76" t="s">
        <v>8</v>
      </c>
      <c r="C1" s="77" t="s">
        <v>129</v>
      </c>
      <c r="D1" s="76" t="s">
        <v>5</v>
      </c>
      <c r="E1" s="77" t="s">
        <v>128</v>
      </c>
      <c r="F1" s="120" t="s">
        <v>285</v>
      </c>
      <c r="G1" s="120" t="s">
        <v>309</v>
      </c>
      <c r="H1" s="120" t="s">
        <v>311</v>
      </c>
      <c r="I1" s="120" t="s">
        <v>310</v>
      </c>
      <c r="J1" s="120" t="s">
        <v>284</v>
      </c>
    </row>
    <row r="2" spans="1:10" ht="17" thickTop="1" x14ac:dyDescent="0.2">
      <c r="A2" s="83" t="s">
        <v>275</v>
      </c>
      <c r="B2" s="84" t="s">
        <v>10</v>
      </c>
      <c r="C2" s="99">
        <v>46660</v>
      </c>
      <c r="D2" s="90" t="s">
        <v>107</v>
      </c>
      <c r="E2" s="103">
        <v>46417</v>
      </c>
      <c r="F2" s="99"/>
      <c r="G2" s="99"/>
      <c r="H2" s="99"/>
      <c r="I2" s="99"/>
      <c r="J2" s="81"/>
    </row>
    <row r="3" spans="1:10" x14ac:dyDescent="0.2">
      <c r="A3" s="83" t="s">
        <v>282</v>
      </c>
      <c r="B3" s="84" t="s">
        <v>127</v>
      </c>
      <c r="C3" s="99">
        <v>47209</v>
      </c>
      <c r="D3" s="158" t="s">
        <v>274</v>
      </c>
      <c r="E3" s="159" t="s">
        <v>292</v>
      </c>
      <c r="F3" s="160"/>
      <c r="G3" s="160"/>
      <c r="H3" s="160"/>
      <c r="I3" s="160"/>
      <c r="J3" s="151" t="s">
        <v>146</v>
      </c>
    </row>
    <row r="4" spans="1:10" hidden="1" x14ac:dyDescent="0.2">
      <c r="A4" s="83" t="s">
        <v>15</v>
      </c>
      <c r="B4" s="84" t="s">
        <v>16</v>
      </c>
      <c r="C4" s="99">
        <v>45935</v>
      </c>
      <c r="D4" s="81" t="s">
        <v>80</v>
      </c>
      <c r="E4" s="125" t="s">
        <v>143</v>
      </c>
      <c r="F4" s="150"/>
      <c r="G4" s="150"/>
      <c r="H4" s="150"/>
      <c r="I4" s="150"/>
      <c r="J4" s="99" t="s">
        <v>144</v>
      </c>
    </row>
    <row r="5" spans="1:10" hidden="1" x14ac:dyDescent="0.2">
      <c r="A5" s="83" t="s">
        <v>17</v>
      </c>
      <c r="B5" s="84" t="s">
        <v>18</v>
      </c>
      <c r="C5" s="99">
        <v>45900</v>
      </c>
      <c r="D5" s="81"/>
      <c r="E5" s="124"/>
      <c r="F5" s="81"/>
      <c r="G5" s="81"/>
      <c r="H5" s="81"/>
      <c r="I5" s="81"/>
      <c r="J5" s="81"/>
    </row>
    <row r="6" spans="1:10" hidden="1" x14ac:dyDescent="0.2">
      <c r="A6" s="78" t="s">
        <v>21</v>
      </c>
      <c r="B6" s="80" t="s">
        <v>22</v>
      </c>
      <c r="C6" s="99">
        <v>46018</v>
      </c>
      <c r="D6" s="81"/>
      <c r="E6" s="124"/>
      <c r="F6" s="81"/>
      <c r="G6" s="81"/>
      <c r="H6" s="81"/>
      <c r="I6" s="81"/>
      <c r="J6" s="81"/>
    </row>
    <row r="7" spans="1:10" x14ac:dyDescent="0.2">
      <c r="A7" s="78" t="s">
        <v>25</v>
      </c>
      <c r="B7" s="80" t="s">
        <v>26</v>
      </c>
      <c r="C7" s="99">
        <v>46458</v>
      </c>
      <c r="D7" s="81" t="s">
        <v>80</v>
      </c>
      <c r="E7" s="103">
        <v>46082</v>
      </c>
      <c r="F7" s="99"/>
      <c r="G7" s="99"/>
      <c r="H7" s="99"/>
      <c r="I7" s="99"/>
      <c r="J7" s="151" t="s">
        <v>273</v>
      </c>
    </row>
    <row r="8" spans="1:10" x14ac:dyDescent="0.2">
      <c r="A8" s="78" t="s">
        <v>27</v>
      </c>
      <c r="B8" s="80" t="s">
        <v>120</v>
      </c>
      <c r="C8" s="99">
        <v>45870</v>
      </c>
      <c r="D8" s="81"/>
      <c r="E8" s="124"/>
      <c r="F8" s="81"/>
      <c r="G8" s="81"/>
      <c r="H8" s="81"/>
      <c r="I8" s="81"/>
      <c r="J8" s="81"/>
    </row>
    <row r="9" spans="1:10" hidden="1" x14ac:dyDescent="0.2">
      <c r="A9" s="78" t="s">
        <v>29</v>
      </c>
      <c r="B9" s="80" t="s">
        <v>30</v>
      </c>
      <c r="C9" s="99">
        <v>45839</v>
      </c>
      <c r="D9" s="81"/>
      <c r="E9" s="124"/>
      <c r="F9" s="81"/>
      <c r="G9" s="81"/>
      <c r="H9" s="81"/>
      <c r="I9" s="81"/>
      <c r="J9" s="81"/>
    </row>
    <row r="10" spans="1:10" x14ac:dyDescent="0.2">
      <c r="A10" s="78" t="s">
        <v>35</v>
      </c>
      <c r="B10" s="80" t="s">
        <v>36</v>
      </c>
      <c r="C10" s="99">
        <v>46450</v>
      </c>
      <c r="D10" s="81" t="s">
        <v>80</v>
      </c>
      <c r="E10" s="103">
        <v>46388</v>
      </c>
      <c r="F10" s="99"/>
      <c r="G10" s="99"/>
      <c r="H10" s="99"/>
      <c r="I10" s="99"/>
      <c r="J10" s="150"/>
    </row>
    <row r="11" spans="1:10" x14ac:dyDescent="0.2">
      <c r="A11" s="78" t="s">
        <v>37</v>
      </c>
      <c r="B11" s="80" t="s">
        <v>121</v>
      </c>
      <c r="C11" s="99">
        <v>46570</v>
      </c>
      <c r="D11" s="81" t="s">
        <v>80</v>
      </c>
      <c r="E11" s="103">
        <v>46113</v>
      </c>
      <c r="F11" s="99"/>
      <c r="G11" s="99"/>
      <c r="H11" s="99"/>
      <c r="I11" s="99"/>
      <c r="J11" s="31" t="s">
        <v>162</v>
      </c>
    </row>
    <row r="12" spans="1:10" ht="18" customHeight="1" x14ac:dyDescent="0.2">
      <c r="A12" s="85" t="s">
        <v>224</v>
      </c>
      <c r="B12" s="80" t="s">
        <v>140</v>
      </c>
      <c r="C12" s="100">
        <v>46387</v>
      </c>
      <c r="D12" s="147" t="s">
        <v>80</v>
      </c>
      <c r="E12" s="148" t="s">
        <v>145</v>
      </c>
      <c r="F12" s="100"/>
      <c r="G12" s="100"/>
      <c r="H12" s="100"/>
      <c r="I12" s="100"/>
      <c r="J12" s="146"/>
    </row>
    <row r="13" spans="1:10" x14ac:dyDescent="0.2">
      <c r="A13" s="78" t="s">
        <v>42</v>
      </c>
      <c r="B13" s="80" t="s">
        <v>43</v>
      </c>
      <c r="C13" s="99">
        <v>46564</v>
      </c>
      <c r="D13" s="81" t="s">
        <v>80</v>
      </c>
      <c r="E13" s="103">
        <v>46519</v>
      </c>
      <c r="F13" s="99" t="s">
        <v>117</v>
      </c>
      <c r="G13" s="99"/>
      <c r="H13" s="194">
        <v>0.55000000000000004</v>
      </c>
      <c r="I13" s="194"/>
      <c r="J13" s="122" t="s">
        <v>278</v>
      </c>
    </row>
    <row r="14" spans="1:10" hidden="1" x14ac:dyDescent="0.2">
      <c r="A14" s="87" t="s">
        <v>44</v>
      </c>
      <c r="B14" s="88" t="s">
        <v>122</v>
      </c>
      <c r="C14" s="101">
        <v>45978</v>
      </c>
      <c r="D14" s="90"/>
      <c r="E14" s="101"/>
      <c r="F14" s="104"/>
      <c r="G14" s="104"/>
      <c r="H14" s="104"/>
      <c r="I14" s="104"/>
      <c r="J14" s="104"/>
    </row>
    <row r="15" spans="1:10" hidden="1" x14ac:dyDescent="0.2">
      <c r="A15" s="216" t="s">
        <v>46</v>
      </c>
      <c r="B15" s="79" t="s">
        <v>123</v>
      </c>
      <c r="C15" s="102">
        <v>46065</v>
      </c>
      <c r="D15" s="89"/>
      <c r="E15" s="126"/>
      <c r="F15" s="123"/>
      <c r="G15" s="123"/>
      <c r="H15" s="123"/>
      <c r="I15" s="123"/>
      <c r="J15" s="123"/>
    </row>
    <row r="16" spans="1:10" hidden="1" x14ac:dyDescent="0.2">
      <c r="A16" s="217"/>
      <c r="B16" s="95" t="s">
        <v>84</v>
      </c>
      <c r="C16" s="103"/>
      <c r="D16" s="82"/>
      <c r="E16" s="103"/>
      <c r="F16" s="99"/>
      <c r="G16" s="99"/>
      <c r="H16" s="99"/>
      <c r="I16" s="99"/>
      <c r="J16" s="99"/>
    </row>
    <row r="17" spans="1:10" x14ac:dyDescent="0.2">
      <c r="A17" s="78" t="s">
        <v>48</v>
      </c>
      <c r="B17" s="80" t="s">
        <v>124</v>
      </c>
      <c r="C17" s="99">
        <v>46632</v>
      </c>
      <c r="D17" s="81" t="s">
        <v>82</v>
      </c>
      <c r="E17" s="103">
        <v>46190</v>
      </c>
      <c r="F17" s="99"/>
      <c r="G17" s="99"/>
      <c r="H17" s="99"/>
      <c r="I17" s="99"/>
      <c r="J17" s="99"/>
    </row>
    <row r="18" spans="1:10" hidden="1" x14ac:dyDescent="0.2">
      <c r="A18" s="78" t="s">
        <v>50</v>
      </c>
      <c r="B18" s="80" t="s">
        <v>51</v>
      </c>
      <c r="C18" s="99">
        <v>46692</v>
      </c>
      <c r="D18" s="81"/>
      <c r="E18" s="103"/>
      <c r="F18" s="99"/>
      <c r="G18" s="99"/>
      <c r="H18" s="99"/>
      <c r="I18" s="99"/>
      <c r="J18" s="99"/>
    </row>
    <row r="19" spans="1:10" ht="17" hidden="1" x14ac:dyDescent="0.2">
      <c r="A19" s="96" t="s">
        <v>102</v>
      </c>
      <c r="B19" s="86" t="s">
        <v>103</v>
      </c>
      <c r="C19" s="99">
        <v>46906</v>
      </c>
      <c r="D19" s="81"/>
      <c r="E19" s="103"/>
      <c r="F19" s="99"/>
      <c r="G19" s="99"/>
      <c r="H19" s="99"/>
      <c r="I19" s="99"/>
      <c r="J19" s="99"/>
    </row>
    <row r="20" spans="1:10" hidden="1" x14ac:dyDescent="0.2">
      <c r="A20" s="91" t="s">
        <v>54</v>
      </c>
      <c r="B20" s="88" t="s">
        <v>55</v>
      </c>
      <c r="C20" s="104">
        <v>46291</v>
      </c>
      <c r="D20" s="90"/>
      <c r="E20" s="101"/>
      <c r="F20" s="104"/>
      <c r="G20" s="104"/>
      <c r="H20" s="104"/>
      <c r="I20" s="104"/>
      <c r="J20" s="104"/>
    </row>
    <row r="21" spans="1:10" hidden="1" x14ac:dyDescent="0.2">
      <c r="A21" s="87" t="s">
        <v>57</v>
      </c>
      <c r="B21" s="88" t="s">
        <v>125</v>
      </c>
      <c r="C21" s="104">
        <v>45965</v>
      </c>
      <c r="D21" s="90"/>
      <c r="E21" s="101"/>
      <c r="F21" s="104"/>
      <c r="G21" s="104"/>
      <c r="H21" s="104"/>
      <c r="I21" s="104"/>
      <c r="J21" s="104"/>
    </row>
    <row r="22" spans="1:10" x14ac:dyDescent="0.2">
      <c r="A22" s="97" t="s">
        <v>105</v>
      </c>
      <c r="B22" s="80" t="s">
        <v>106</v>
      </c>
      <c r="C22" s="99">
        <v>46446</v>
      </c>
      <c r="D22" s="90" t="s">
        <v>107</v>
      </c>
      <c r="E22" s="101">
        <v>46174</v>
      </c>
      <c r="F22" s="99"/>
      <c r="G22" s="99"/>
      <c r="H22" s="99"/>
      <c r="I22" s="99"/>
      <c r="J22" s="121"/>
    </row>
    <row r="23" spans="1:10" hidden="1" x14ac:dyDescent="0.2">
      <c r="A23" s="78" t="s">
        <v>61</v>
      </c>
      <c r="B23" s="80" t="s">
        <v>126</v>
      </c>
      <c r="C23" s="99">
        <v>46002</v>
      </c>
      <c r="D23" s="81"/>
      <c r="E23" s="103"/>
      <c r="F23" s="99"/>
      <c r="G23" s="99"/>
      <c r="H23" s="99"/>
      <c r="I23" s="99"/>
      <c r="J23" s="99"/>
    </row>
    <row r="24" spans="1:10" hidden="1" x14ac:dyDescent="0.2">
      <c r="A24" s="78" t="s">
        <v>65</v>
      </c>
      <c r="B24" s="80" t="s">
        <v>66</v>
      </c>
      <c r="C24" s="99">
        <v>45995</v>
      </c>
      <c r="D24" s="81"/>
      <c r="E24" s="103"/>
      <c r="F24" s="99"/>
      <c r="G24" s="99"/>
      <c r="H24" s="99"/>
      <c r="I24" s="99"/>
      <c r="J24" s="99"/>
    </row>
    <row r="25" spans="1:10" x14ac:dyDescent="0.2">
      <c r="A25" s="78" t="s">
        <v>67</v>
      </c>
      <c r="B25" s="80" t="s">
        <v>68</v>
      </c>
      <c r="C25" s="99">
        <v>46203</v>
      </c>
      <c r="D25" s="144" t="s">
        <v>85</v>
      </c>
      <c r="E25" s="145">
        <v>45748</v>
      </c>
      <c r="F25" s="99" t="s">
        <v>117</v>
      </c>
      <c r="G25" s="99"/>
      <c r="H25" s="99"/>
      <c r="I25" s="99"/>
      <c r="J25" s="151" t="s">
        <v>273</v>
      </c>
    </row>
    <row r="26" spans="1:10" hidden="1" x14ac:dyDescent="0.2">
      <c r="A26" s="97" t="s">
        <v>108</v>
      </c>
      <c r="B26" s="80" t="s">
        <v>109</v>
      </c>
      <c r="C26" s="99">
        <v>46444</v>
      </c>
      <c r="D26" s="81"/>
      <c r="E26" s="103"/>
      <c r="F26" s="99"/>
      <c r="G26" s="99"/>
      <c r="H26" s="99"/>
      <c r="I26" s="99"/>
      <c r="J26" s="99"/>
    </row>
    <row r="27" spans="1:10" hidden="1" x14ac:dyDescent="0.2">
      <c r="A27" s="78" t="s">
        <v>141</v>
      </c>
      <c r="B27" s="80" t="s">
        <v>142</v>
      </c>
      <c r="C27" s="99">
        <v>46141</v>
      </c>
      <c r="D27" s="81"/>
      <c r="E27" s="103"/>
      <c r="F27" s="99"/>
      <c r="G27" s="99"/>
      <c r="H27" s="99"/>
      <c r="I27" s="99"/>
      <c r="J27" s="99"/>
    </row>
    <row r="28" spans="1:10" hidden="1" x14ac:dyDescent="0.2">
      <c r="A28" s="78" t="s">
        <v>86</v>
      </c>
      <c r="B28" s="80" t="s">
        <v>93</v>
      </c>
      <c r="C28" s="99">
        <v>46113</v>
      </c>
      <c r="D28" s="81"/>
      <c r="E28" s="124"/>
      <c r="F28" s="81"/>
      <c r="G28" s="81"/>
      <c r="H28" s="81"/>
      <c r="I28" s="81"/>
      <c r="J28" s="81"/>
    </row>
    <row r="29" spans="1:10" x14ac:dyDescent="0.2">
      <c r="A29" s="78" t="s">
        <v>87</v>
      </c>
      <c r="B29" s="80" t="s">
        <v>94</v>
      </c>
      <c r="C29" s="99">
        <v>46136</v>
      </c>
      <c r="D29" s="105" t="s">
        <v>95</v>
      </c>
      <c r="E29" s="125">
        <v>46082</v>
      </c>
      <c r="F29" s="150"/>
      <c r="G29" s="150"/>
      <c r="H29" s="150"/>
      <c r="I29" s="150"/>
      <c r="J29" s="99"/>
    </row>
    <row r="30" spans="1:10" x14ac:dyDescent="0.2">
      <c r="A30" s="78" t="s">
        <v>88</v>
      </c>
      <c r="B30" s="80" t="s">
        <v>96</v>
      </c>
      <c r="C30" s="99">
        <v>46154</v>
      </c>
      <c r="D30" s="105" t="s">
        <v>95</v>
      </c>
      <c r="E30" s="125">
        <v>46082</v>
      </c>
      <c r="F30" s="150"/>
      <c r="G30" s="150"/>
      <c r="H30" s="150"/>
      <c r="I30" s="150"/>
      <c r="J30" s="99"/>
    </row>
    <row r="31" spans="1:10" ht="17" hidden="1" x14ac:dyDescent="0.2">
      <c r="A31" s="93" t="s">
        <v>89</v>
      </c>
      <c r="B31" s="88" t="s">
        <v>98</v>
      </c>
      <c r="C31" s="104">
        <v>46154</v>
      </c>
      <c r="D31" s="90"/>
      <c r="E31" s="101"/>
      <c r="F31" s="104"/>
      <c r="G31" s="104"/>
      <c r="H31" s="104"/>
      <c r="I31" s="104"/>
      <c r="J31" s="104"/>
    </row>
    <row r="32" spans="1:10" ht="17" hidden="1" x14ac:dyDescent="0.2">
      <c r="A32" s="93" t="s">
        <v>90</v>
      </c>
      <c r="B32" s="88" t="s">
        <v>97</v>
      </c>
      <c r="C32" s="104">
        <v>46358</v>
      </c>
      <c r="D32" s="90"/>
      <c r="E32" s="101"/>
      <c r="F32" s="104"/>
      <c r="G32" s="104"/>
      <c r="H32" s="104"/>
      <c r="I32" s="104"/>
      <c r="J32" s="104"/>
    </row>
    <row r="33" spans="1:10" x14ac:dyDescent="0.2">
      <c r="A33" s="87" t="s">
        <v>91</v>
      </c>
      <c r="B33" s="94" t="s">
        <v>99</v>
      </c>
      <c r="C33" s="92">
        <v>46369</v>
      </c>
      <c r="D33" s="90" t="s">
        <v>80</v>
      </c>
      <c r="E33" s="101">
        <v>46125</v>
      </c>
      <c r="F33" s="99"/>
      <c r="G33" s="99"/>
      <c r="H33" s="99"/>
      <c r="I33" s="99"/>
      <c r="J33" s="121" t="s">
        <v>148</v>
      </c>
    </row>
    <row r="34" spans="1:10" hidden="1" x14ac:dyDescent="0.2">
      <c r="A34" s="87" t="s">
        <v>92</v>
      </c>
      <c r="B34" s="94" t="s">
        <v>100</v>
      </c>
      <c r="C34" s="92">
        <v>46571</v>
      </c>
      <c r="D34" s="90"/>
      <c r="E34" s="101"/>
      <c r="F34" s="104"/>
      <c r="G34" s="104"/>
      <c r="H34" s="104"/>
      <c r="I34" s="104"/>
      <c r="J34" s="104"/>
    </row>
    <row r="35" spans="1:10" hidden="1" x14ac:dyDescent="0.2">
      <c r="A35" s="87" t="s">
        <v>130</v>
      </c>
      <c r="B35" s="94" t="s">
        <v>135</v>
      </c>
      <c r="C35" s="92"/>
      <c r="D35" s="90"/>
      <c r="E35" s="101"/>
      <c r="F35" s="104"/>
      <c r="G35" s="104"/>
      <c r="H35" s="104"/>
      <c r="I35" s="104"/>
      <c r="J35" s="104"/>
    </row>
    <row r="36" spans="1:10" hidden="1" x14ac:dyDescent="0.2">
      <c r="A36" s="87" t="s">
        <v>131</v>
      </c>
      <c r="B36" s="94" t="s">
        <v>136</v>
      </c>
      <c r="C36" s="92"/>
      <c r="D36" s="90"/>
      <c r="E36" s="101"/>
      <c r="F36" s="104"/>
      <c r="G36" s="104"/>
      <c r="H36" s="104"/>
      <c r="I36" s="104"/>
      <c r="J36" s="104"/>
    </row>
    <row r="37" spans="1:10" hidden="1" x14ac:dyDescent="0.2">
      <c r="A37" s="87" t="s">
        <v>132</v>
      </c>
      <c r="B37" s="94" t="s">
        <v>137</v>
      </c>
      <c r="C37" s="92"/>
      <c r="D37" s="90"/>
      <c r="E37" s="101"/>
      <c r="F37" s="104"/>
      <c r="G37" s="104"/>
      <c r="H37" s="104"/>
      <c r="I37" s="104"/>
      <c r="J37" s="104"/>
    </row>
    <row r="38" spans="1:10" hidden="1" x14ac:dyDescent="0.2">
      <c r="A38" s="87" t="s">
        <v>133</v>
      </c>
      <c r="B38" s="94" t="s">
        <v>138</v>
      </c>
      <c r="C38" s="92"/>
      <c r="D38" s="90"/>
      <c r="E38" s="101"/>
      <c r="F38" s="104"/>
      <c r="G38" s="104"/>
      <c r="H38" s="104"/>
      <c r="I38" s="104"/>
      <c r="J38" s="104"/>
    </row>
    <row r="39" spans="1:10" x14ac:dyDescent="0.2">
      <c r="A39" s="87" t="s">
        <v>149</v>
      </c>
      <c r="B39" s="94" t="s">
        <v>139</v>
      </c>
      <c r="C39" s="92">
        <v>46276</v>
      </c>
      <c r="D39" s="90" t="s">
        <v>80</v>
      </c>
      <c r="E39" s="101">
        <v>46214</v>
      </c>
      <c r="F39" s="104"/>
      <c r="G39" s="104"/>
      <c r="H39" s="104"/>
      <c r="I39" s="104"/>
      <c r="J39" s="104"/>
    </row>
    <row r="40" spans="1:10" x14ac:dyDescent="0.2">
      <c r="A40" s="87" t="s">
        <v>171</v>
      </c>
      <c r="B40" s="94" t="s">
        <v>172</v>
      </c>
      <c r="C40" s="92">
        <v>47041</v>
      </c>
      <c r="D40" s="81" t="s">
        <v>274</v>
      </c>
      <c r="E40" s="101">
        <v>46614</v>
      </c>
      <c r="F40" s="104"/>
      <c r="G40" s="104"/>
      <c r="H40" s="104"/>
      <c r="I40" s="104"/>
      <c r="J40" s="104"/>
    </row>
    <row r="41" spans="1:10" x14ac:dyDescent="0.2">
      <c r="A41" s="87" t="s">
        <v>173</v>
      </c>
      <c r="B41" s="94" t="s">
        <v>174</v>
      </c>
      <c r="C41" s="92">
        <v>47032</v>
      </c>
      <c r="D41" s="90" t="s">
        <v>80</v>
      </c>
      <c r="E41" s="101">
        <v>46240</v>
      </c>
      <c r="F41" s="104"/>
      <c r="G41" s="104"/>
      <c r="H41" s="104"/>
      <c r="I41" s="104"/>
      <c r="J41" s="104"/>
    </row>
    <row r="42" spans="1:10" x14ac:dyDescent="0.2">
      <c r="A42" s="78" t="s">
        <v>276</v>
      </c>
      <c r="B42" s="80" t="s">
        <v>254</v>
      </c>
      <c r="C42" s="99">
        <v>46387</v>
      </c>
      <c r="D42" s="90" t="s">
        <v>80</v>
      </c>
      <c r="E42" s="101">
        <v>46569</v>
      </c>
      <c r="F42" s="104"/>
      <c r="G42" s="104"/>
      <c r="H42" s="104"/>
      <c r="I42" s="104"/>
      <c r="J42" s="104"/>
    </row>
    <row r="43" spans="1:10" x14ac:dyDescent="0.2">
      <c r="A43" s="78" t="s">
        <v>279</v>
      </c>
      <c r="B43" s="80" t="s">
        <v>257</v>
      </c>
      <c r="C43" s="99">
        <v>47105</v>
      </c>
      <c r="D43" s="90" t="s">
        <v>80</v>
      </c>
      <c r="E43" s="101">
        <v>46313</v>
      </c>
      <c r="F43" s="104"/>
      <c r="G43" s="104"/>
      <c r="H43" s="104"/>
      <c r="I43" s="104"/>
      <c r="J43" s="104"/>
    </row>
    <row r="44" spans="1:10" x14ac:dyDescent="0.2">
      <c r="A44" s="78" t="s">
        <v>280</v>
      </c>
      <c r="B44" s="80" t="s">
        <v>22</v>
      </c>
      <c r="C44" s="99">
        <v>47114</v>
      </c>
      <c r="D44" s="90" t="s">
        <v>281</v>
      </c>
      <c r="E44" s="101">
        <v>46508</v>
      </c>
      <c r="F44" s="104"/>
      <c r="G44" s="104"/>
      <c r="H44" s="104"/>
      <c r="I44" s="104"/>
      <c r="J44" s="104"/>
    </row>
    <row r="45" spans="1:10" x14ac:dyDescent="0.2">
      <c r="A45" s="78" t="s">
        <v>283</v>
      </c>
      <c r="B45" s="80" t="s">
        <v>267</v>
      </c>
      <c r="C45" s="99">
        <v>47106</v>
      </c>
      <c r="D45" s="90" t="s">
        <v>80</v>
      </c>
      <c r="E45" s="101">
        <v>46314</v>
      </c>
      <c r="F45" s="104"/>
      <c r="G45" s="104"/>
      <c r="H45" s="104"/>
      <c r="I45" s="104"/>
      <c r="J45" s="104"/>
    </row>
    <row r="46" spans="1:10" x14ac:dyDescent="0.2">
      <c r="A46" s="1"/>
      <c r="B46" s="79"/>
      <c r="C46" s="199"/>
      <c r="D46" s="89"/>
      <c r="E46" s="199"/>
      <c r="F46" s="199"/>
      <c r="G46" s="199"/>
      <c r="H46" s="199"/>
      <c r="I46" s="199"/>
      <c r="J46" s="199"/>
    </row>
    <row r="47" spans="1:10" x14ac:dyDescent="0.2">
      <c r="A47" s="1"/>
      <c r="B47" s="79"/>
      <c r="C47" s="199"/>
      <c r="D47" s="89"/>
      <c r="E47" s="199"/>
      <c r="F47" s="199"/>
      <c r="G47" s="199"/>
      <c r="H47" s="199"/>
      <c r="I47" s="199"/>
      <c r="J47" s="199"/>
    </row>
    <row r="48" spans="1:10" x14ac:dyDescent="0.2">
      <c r="B48" s="1"/>
    </row>
    <row r="49" spans="1:2" hidden="1" x14ac:dyDescent="0.2">
      <c r="A49" s="152" t="s">
        <v>147</v>
      </c>
    </row>
    <row r="51" spans="1:2" x14ac:dyDescent="0.2">
      <c r="A51" s="163"/>
      <c r="B51" s="161" t="s">
        <v>286</v>
      </c>
    </row>
    <row r="52" spans="1:2" ht="10" customHeight="1" x14ac:dyDescent="0.2"/>
    <row r="53" spans="1:2" x14ac:dyDescent="0.2">
      <c r="A53" s="164"/>
      <c r="B53" s="162" t="s">
        <v>287</v>
      </c>
    </row>
  </sheetData>
  <mergeCells count="1">
    <mergeCell ref="A15:A16"/>
  </mergeCells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58E3FC-7F74-8C4C-94A9-C6A6B695C522}">
  <sheetPr filterMode="1">
    <tabColor theme="3" tint="0.749992370372631"/>
  </sheetPr>
  <dimension ref="A1:H90"/>
  <sheetViews>
    <sheetView showGridLines="0" workbookViewId="0">
      <pane xSplit="1" topLeftCell="B1" activePane="topRight" state="frozen"/>
      <selection pane="topRight" activeCell="H55" sqref="H55"/>
    </sheetView>
  </sheetViews>
  <sheetFormatPr baseColWidth="10" defaultRowHeight="16" x14ac:dyDescent="0.2"/>
  <cols>
    <col min="1" max="1" width="12.33203125" bestFit="1" customWidth="1"/>
    <col min="2" max="2" width="40.33203125" customWidth="1"/>
    <col min="3" max="3" width="51" bestFit="1" customWidth="1"/>
    <col min="4" max="4" width="21.33203125" customWidth="1"/>
    <col min="5" max="5" width="20.5" style="1" customWidth="1"/>
    <col min="6" max="6" width="21" customWidth="1"/>
    <col min="7" max="7" width="22" style="1" customWidth="1"/>
    <col min="8" max="8" width="41.33203125" customWidth="1"/>
  </cols>
  <sheetData>
    <row r="1" spans="1:8" s="69" customFormat="1" ht="23" customHeight="1" thickBot="1" x14ac:dyDescent="0.25">
      <c r="A1" s="149" t="s">
        <v>0</v>
      </c>
      <c r="B1" s="149" t="s">
        <v>8</v>
      </c>
      <c r="C1" s="149" t="s">
        <v>346</v>
      </c>
      <c r="D1" s="149" t="s">
        <v>312</v>
      </c>
      <c r="E1" s="149" t="s">
        <v>242</v>
      </c>
      <c r="F1" s="149" t="s">
        <v>129</v>
      </c>
      <c r="G1" s="149" t="s">
        <v>268</v>
      </c>
      <c r="H1" s="149" t="s">
        <v>269</v>
      </c>
    </row>
    <row r="2" spans="1:8" ht="17" hidden="1" thickTop="1" x14ac:dyDescent="0.2">
      <c r="A2" s="153">
        <v>423</v>
      </c>
      <c r="B2" s="154" t="s">
        <v>18</v>
      </c>
      <c r="C2" s="154" t="s">
        <v>359</v>
      </c>
      <c r="D2" s="154" t="s">
        <v>227</v>
      </c>
      <c r="E2" s="155" t="s">
        <v>243</v>
      </c>
      <c r="F2" s="156">
        <v>46082</v>
      </c>
      <c r="G2" s="157" t="s">
        <v>117</v>
      </c>
      <c r="H2" s="155"/>
    </row>
    <row r="3" spans="1:8" ht="17" hidden="1" thickTop="1" x14ac:dyDescent="0.2">
      <c r="A3" s="153">
        <v>431</v>
      </c>
      <c r="B3" s="154" t="s">
        <v>26</v>
      </c>
      <c r="C3" s="154" t="s">
        <v>366</v>
      </c>
      <c r="D3" s="154" t="s">
        <v>228</v>
      </c>
      <c r="E3" s="155" t="s">
        <v>243</v>
      </c>
      <c r="F3" s="156">
        <v>46458</v>
      </c>
      <c r="G3" s="157" t="s">
        <v>117</v>
      </c>
      <c r="H3" s="155"/>
    </row>
    <row r="4" spans="1:8" ht="17" hidden="1" thickTop="1" x14ac:dyDescent="0.2">
      <c r="A4" s="153">
        <v>435</v>
      </c>
      <c r="B4" s="154" t="s">
        <v>120</v>
      </c>
      <c r="C4" s="154" t="s">
        <v>365</v>
      </c>
      <c r="D4" s="154" t="s">
        <v>226</v>
      </c>
      <c r="E4" s="155" t="s">
        <v>243</v>
      </c>
      <c r="F4" s="156">
        <v>46054</v>
      </c>
      <c r="G4" s="202" t="s">
        <v>345</v>
      </c>
      <c r="H4" s="202"/>
    </row>
    <row r="5" spans="1:8" ht="17" thickTop="1" x14ac:dyDescent="0.2">
      <c r="A5" s="153">
        <v>436</v>
      </c>
      <c r="B5" s="154" t="s">
        <v>30</v>
      </c>
      <c r="C5" s="154" t="s">
        <v>364</v>
      </c>
      <c r="D5" s="154" t="s">
        <v>226</v>
      </c>
      <c r="E5" s="155" t="s">
        <v>243</v>
      </c>
      <c r="F5" s="156">
        <v>46374</v>
      </c>
      <c r="G5" s="157"/>
      <c r="H5" s="155" t="s">
        <v>381</v>
      </c>
    </row>
    <row r="6" spans="1:8" hidden="1" x14ac:dyDescent="0.2">
      <c r="A6" s="153">
        <v>440</v>
      </c>
      <c r="B6" s="154" t="s">
        <v>36</v>
      </c>
      <c r="C6" s="154"/>
      <c r="D6" s="154" t="s">
        <v>226</v>
      </c>
      <c r="E6" s="155" t="s">
        <v>243</v>
      </c>
      <c r="F6" s="156">
        <v>46450</v>
      </c>
      <c r="G6" s="157" t="s">
        <v>377</v>
      </c>
      <c r="H6" s="155" t="s">
        <v>376</v>
      </c>
    </row>
    <row r="7" spans="1:8" hidden="1" x14ac:dyDescent="0.2">
      <c r="A7" s="153">
        <v>444</v>
      </c>
      <c r="B7" s="154" t="s">
        <v>121</v>
      </c>
      <c r="C7" s="154" t="s">
        <v>362</v>
      </c>
      <c r="D7" s="154" t="s">
        <v>196</v>
      </c>
      <c r="E7" s="155" t="s">
        <v>243</v>
      </c>
      <c r="F7" s="156">
        <v>46570</v>
      </c>
      <c r="G7" s="157" t="s">
        <v>117</v>
      </c>
      <c r="H7" s="155"/>
    </row>
    <row r="8" spans="1:8" hidden="1" x14ac:dyDescent="0.2">
      <c r="A8" s="153">
        <v>449</v>
      </c>
      <c r="B8" s="154" t="s">
        <v>43</v>
      </c>
      <c r="C8" s="154" t="s">
        <v>363</v>
      </c>
      <c r="D8" s="154" t="s">
        <v>229</v>
      </c>
      <c r="E8" s="155" t="s">
        <v>243</v>
      </c>
      <c r="F8" s="156">
        <v>46564</v>
      </c>
      <c r="G8" s="157" t="s">
        <v>117</v>
      </c>
      <c r="H8" s="155"/>
    </row>
    <row r="9" spans="1:8" hidden="1" x14ac:dyDescent="0.2">
      <c r="A9" s="153">
        <v>450</v>
      </c>
      <c r="B9" s="154" t="s">
        <v>122</v>
      </c>
      <c r="C9" s="154" t="s">
        <v>160</v>
      </c>
      <c r="D9" s="154" t="s">
        <v>230</v>
      </c>
      <c r="E9" s="155" t="s">
        <v>243</v>
      </c>
      <c r="F9" s="156">
        <v>46070</v>
      </c>
      <c r="G9" s="203" t="s">
        <v>117</v>
      </c>
      <c r="H9" s="203" t="s">
        <v>272</v>
      </c>
    </row>
    <row r="10" spans="1:8" hidden="1" x14ac:dyDescent="0.2">
      <c r="A10" s="153" t="s">
        <v>244</v>
      </c>
      <c r="B10" s="154" t="s">
        <v>123</v>
      </c>
      <c r="C10" s="154" t="s">
        <v>155</v>
      </c>
      <c r="D10" s="154" t="s">
        <v>231</v>
      </c>
      <c r="E10" s="155" t="s">
        <v>243</v>
      </c>
      <c r="F10" s="156">
        <v>46065</v>
      </c>
      <c r="G10" s="157" t="s">
        <v>117</v>
      </c>
      <c r="H10" s="155"/>
    </row>
    <row r="11" spans="1:8" hidden="1" x14ac:dyDescent="0.2">
      <c r="A11" s="153">
        <v>455</v>
      </c>
      <c r="B11" s="154" t="s">
        <v>249</v>
      </c>
      <c r="C11" s="154" t="s">
        <v>361</v>
      </c>
      <c r="D11" s="154" t="s">
        <v>199</v>
      </c>
      <c r="E11" s="155" t="s">
        <v>243</v>
      </c>
      <c r="F11" s="156">
        <v>46632</v>
      </c>
      <c r="G11" s="157" t="s">
        <v>117</v>
      </c>
      <c r="H11" s="155"/>
    </row>
    <row r="12" spans="1:8" hidden="1" x14ac:dyDescent="0.2">
      <c r="A12" s="153">
        <v>456</v>
      </c>
      <c r="B12" s="154" t="s">
        <v>51</v>
      </c>
      <c r="C12" s="154" t="s">
        <v>360</v>
      </c>
      <c r="D12" s="154" t="s">
        <v>226</v>
      </c>
      <c r="E12" s="155" t="s">
        <v>243</v>
      </c>
      <c r="F12" s="156">
        <v>46692</v>
      </c>
      <c r="G12" s="157" t="s">
        <v>117</v>
      </c>
      <c r="H12" s="155"/>
    </row>
    <row r="13" spans="1:8" hidden="1" x14ac:dyDescent="0.2">
      <c r="A13" s="153">
        <v>460</v>
      </c>
      <c r="B13" s="154" t="s">
        <v>55</v>
      </c>
      <c r="C13" s="154"/>
      <c r="D13" s="154" t="s">
        <v>232</v>
      </c>
      <c r="E13" s="155" t="s">
        <v>243</v>
      </c>
      <c r="F13" s="156">
        <v>46291</v>
      </c>
      <c r="G13" s="202" t="s">
        <v>345</v>
      </c>
      <c r="H13" s="202"/>
    </row>
    <row r="14" spans="1:8" hidden="1" x14ac:dyDescent="0.2">
      <c r="A14" s="153">
        <v>464</v>
      </c>
      <c r="B14" s="154" t="s">
        <v>247</v>
      </c>
      <c r="C14" s="154" t="s">
        <v>358</v>
      </c>
      <c r="D14" s="154" t="s">
        <v>233</v>
      </c>
      <c r="E14" s="155" t="s">
        <v>243</v>
      </c>
      <c r="F14" s="156">
        <v>46218</v>
      </c>
      <c r="G14" s="157" t="s">
        <v>117</v>
      </c>
      <c r="H14" s="203" t="s">
        <v>386</v>
      </c>
    </row>
    <row r="15" spans="1:8" hidden="1" x14ac:dyDescent="0.2">
      <c r="A15" s="153" t="s">
        <v>245</v>
      </c>
      <c r="B15" s="154" t="s">
        <v>123</v>
      </c>
      <c r="C15" s="154" t="s">
        <v>155</v>
      </c>
      <c r="D15" s="154" t="s">
        <v>231</v>
      </c>
      <c r="E15" s="155" t="s">
        <v>243</v>
      </c>
      <c r="F15" s="156">
        <v>46065</v>
      </c>
      <c r="G15" s="157" t="s">
        <v>117</v>
      </c>
      <c r="H15" s="155"/>
    </row>
    <row r="16" spans="1:8" hidden="1" x14ac:dyDescent="0.2">
      <c r="A16" s="153">
        <v>472</v>
      </c>
      <c r="B16" s="154" t="s">
        <v>248</v>
      </c>
      <c r="C16" s="154" t="s">
        <v>359</v>
      </c>
      <c r="D16" s="154" t="s">
        <v>226</v>
      </c>
      <c r="E16" s="155" t="s">
        <v>243</v>
      </c>
      <c r="F16" s="156">
        <v>46204</v>
      </c>
      <c r="G16" s="157" t="s">
        <v>117</v>
      </c>
      <c r="H16" s="155"/>
    </row>
    <row r="17" spans="1:8" hidden="1" x14ac:dyDescent="0.2">
      <c r="A17" s="153">
        <v>475</v>
      </c>
      <c r="B17" s="154" t="s">
        <v>68</v>
      </c>
      <c r="C17" s="154" t="s">
        <v>371</v>
      </c>
      <c r="D17" s="154" t="s">
        <v>206</v>
      </c>
      <c r="E17" s="155" t="s">
        <v>243</v>
      </c>
      <c r="F17" s="156">
        <v>46203</v>
      </c>
      <c r="G17" s="157" t="s">
        <v>117</v>
      </c>
      <c r="H17" s="155"/>
    </row>
    <row r="18" spans="1:8" hidden="1" x14ac:dyDescent="0.2">
      <c r="A18" s="153">
        <v>479</v>
      </c>
      <c r="B18" s="154" t="s">
        <v>246</v>
      </c>
      <c r="C18" s="154"/>
      <c r="D18" s="154" t="s">
        <v>142</v>
      </c>
      <c r="E18" s="155" t="s">
        <v>243</v>
      </c>
      <c r="F18" s="156">
        <v>46141</v>
      </c>
      <c r="G18" s="202" t="s">
        <v>204</v>
      </c>
      <c r="H18" s="155" t="s">
        <v>372</v>
      </c>
    </row>
    <row r="19" spans="1:8" hidden="1" x14ac:dyDescent="0.2">
      <c r="A19" s="153">
        <v>482</v>
      </c>
      <c r="B19" s="154" t="s">
        <v>209</v>
      </c>
      <c r="C19" s="154" t="s">
        <v>373</v>
      </c>
      <c r="D19" s="154" t="s">
        <v>234</v>
      </c>
      <c r="E19" s="155" t="s">
        <v>243</v>
      </c>
      <c r="F19" s="156">
        <v>46102</v>
      </c>
      <c r="G19" s="202" t="s">
        <v>204</v>
      </c>
      <c r="H19" s="155" t="s">
        <v>369</v>
      </c>
    </row>
    <row r="20" spans="1:8" hidden="1" x14ac:dyDescent="0.2">
      <c r="A20" s="153">
        <v>484</v>
      </c>
      <c r="B20" s="154" t="s">
        <v>263</v>
      </c>
      <c r="C20" s="154" t="s">
        <v>374</v>
      </c>
      <c r="D20" s="154" t="s">
        <v>199</v>
      </c>
      <c r="E20" s="155" t="s">
        <v>250</v>
      </c>
      <c r="F20" s="156">
        <v>46692</v>
      </c>
      <c r="G20" s="157" t="s">
        <v>117</v>
      </c>
      <c r="H20" s="155" t="s">
        <v>384</v>
      </c>
    </row>
    <row r="21" spans="1:8" hidden="1" x14ac:dyDescent="0.2">
      <c r="A21" s="153">
        <v>486</v>
      </c>
      <c r="B21" s="154" t="s">
        <v>93</v>
      </c>
      <c r="C21" s="154"/>
      <c r="D21" s="154" t="s">
        <v>226</v>
      </c>
      <c r="E21" s="155" t="s">
        <v>243</v>
      </c>
      <c r="F21" s="156">
        <v>46082</v>
      </c>
      <c r="G21" s="202" t="s">
        <v>345</v>
      </c>
      <c r="H21" s="155"/>
    </row>
    <row r="22" spans="1:8" hidden="1" x14ac:dyDescent="0.2">
      <c r="A22" s="153">
        <v>487</v>
      </c>
      <c r="B22" s="154" t="s">
        <v>94</v>
      </c>
      <c r="C22" s="154" t="s">
        <v>357</v>
      </c>
      <c r="D22" s="154" t="s">
        <v>235</v>
      </c>
      <c r="E22" s="155" t="s">
        <v>243</v>
      </c>
      <c r="F22" s="156">
        <v>46136</v>
      </c>
      <c r="G22" s="157" t="s">
        <v>117</v>
      </c>
      <c r="H22" s="155"/>
    </row>
    <row r="23" spans="1:8" hidden="1" x14ac:dyDescent="0.2">
      <c r="A23" s="153" t="s">
        <v>236</v>
      </c>
      <c r="B23" s="154" t="s">
        <v>96</v>
      </c>
      <c r="C23" s="154"/>
      <c r="D23" s="154" t="s">
        <v>237</v>
      </c>
      <c r="E23" s="155" t="s">
        <v>243</v>
      </c>
      <c r="F23" s="156">
        <v>46154</v>
      </c>
      <c r="G23" s="202" t="s">
        <v>204</v>
      </c>
      <c r="H23" s="155" t="s">
        <v>369</v>
      </c>
    </row>
    <row r="24" spans="1:8" hidden="1" x14ac:dyDescent="0.2">
      <c r="A24" s="153">
        <v>488</v>
      </c>
      <c r="B24" s="154" t="s">
        <v>96</v>
      </c>
      <c r="C24" s="154"/>
      <c r="D24" s="154" t="s">
        <v>237</v>
      </c>
      <c r="E24" s="155" t="s">
        <v>243</v>
      </c>
      <c r="F24" s="156">
        <v>46154</v>
      </c>
      <c r="G24" s="202" t="s">
        <v>204</v>
      </c>
      <c r="H24" s="155" t="s">
        <v>369</v>
      </c>
    </row>
    <row r="25" spans="1:8" hidden="1" x14ac:dyDescent="0.2">
      <c r="A25" s="153">
        <v>490</v>
      </c>
      <c r="B25" s="154" t="s">
        <v>98</v>
      </c>
      <c r="C25" s="154" t="s">
        <v>157</v>
      </c>
      <c r="D25" s="154" t="s">
        <v>238</v>
      </c>
      <c r="E25" s="155" t="s">
        <v>243</v>
      </c>
      <c r="F25" s="156">
        <v>46154</v>
      </c>
      <c r="G25" s="157" t="s">
        <v>117</v>
      </c>
      <c r="H25" s="203" t="s">
        <v>385</v>
      </c>
    </row>
    <row r="26" spans="1:8" hidden="1" x14ac:dyDescent="0.2">
      <c r="A26" s="153">
        <v>491</v>
      </c>
      <c r="B26" s="154" t="s">
        <v>97</v>
      </c>
      <c r="C26" s="154" t="s">
        <v>158</v>
      </c>
      <c r="D26" s="154" t="s">
        <v>239</v>
      </c>
      <c r="E26" s="155" t="s">
        <v>243</v>
      </c>
      <c r="F26" s="156">
        <v>46358</v>
      </c>
      <c r="G26" s="157" t="s">
        <v>117</v>
      </c>
      <c r="H26" s="155"/>
    </row>
    <row r="27" spans="1:8" hidden="1" x14ac:dyDescent="0.2">
      <c r="A27" s="153">
        <v>492</v>
      </c>
      <c r="B27" s="154" t="s">
        <v>99</v>
      </c>
      <c r="C27" s="154" t="s">
        <v>356</v>
      </c>
      <c r="D27" s="154" t="s">
        <v>240</v>
      </c>
      <c r="E27" s="155" t="s">
        <v>243</v>
      </c>
      <c r="F27" s="156">
        <v>46369</v>
      </c>
      <c r="G27" s="157" t="s">
        <v>117</v>
      </c>
      <c r="H27" s="155"/>
    </row>
    <row r="28" spans="1:8" hidden="1" x14ac:dyDescent="0.2">
      <c r="A28" s="153">
        <v>493</v>
      </c>
      <c r="B28" s="154" t="s">
        <v>174</v>
      </c>
      <c r="C28" s="154" t="s">
        <v>375</v>
      </c>
      <c r="D28" s="154" t="s">
        <v>255</v>
      </c>
      <c r="E28" s="155" t="s">
        <v>250</v>
      </c>
      <c r="F28" s="156">
        <v>47027</v>
      </c>
      <c r="G28" s="157" t="s">
        <v>117</v>
      </c>
      <c r="H28" s="155" t="s">
        <v>381</v>
      </c>
    </row>
    <row r="29" spans="1:8" hidden="1" x14ac:dyDescent="0.2">
      <c r="A29" s="153">
        <v>495</v>
      </c>
      <c r="B29" s="154" t="s">
        <v>100</v>
      </c>
      <c r="C29" s="154" t="s">
        <v>159</v>
      </c>
      <c r="D29" s="154" t="s">
        <v>241</v>
      </c>
      <c r="E29" s="155" t="s">
        <v>243</v>
      </c>
      <c r="F29" s="156">
        <v>46571</v>
      </c>
      <c r="G29" s="157" t="s">
        <v>117</v>
      </c>
      <c r="H29" s="155"/>
    </row>
    <row r="30" spans="1:8" hidden="1" x14ac:dyDescent="0.2">
      <c r="A30" s="153">
        <v>496</v>
      </c>
      <c r="B30" s="154" t="s">
        <v>135</v>
      </c>
      <c r="C30" s="154" t="s">
        <v>355</v>
      </c>
      <c r="D30" s="154" t="s">
        <v>231</v>
      </c>
      <c r="E30" s="155" t="s">
        <v>243</v>
      </c>
      <c r="F30" s="156">
        <v>46234</v>
      </c>
      <c r="G30" s="157" t="s">
        <v>117</v>
      </c>
      <c r="H30" s="155"/>
    </row>
    <row r="31" spans="1:8" hidden="1" x14ac:dyDescent="0.2">
      <c r="A31" s="153">
        <v>498</v>
      </c>
      <c r="B31" s="154" t="s">
        <v>136</v>
      </c>
      <c r="C31" s="154"/>
      <c r="D31" s="154" t="s">
        <v>240</v>
      </c>
      <c r="E31" s="155" t="s">
        <v>243</v>
      </c>
      <c r="F31" s="156">
        <v>46249</v>
      </c>
      <c r="G31" s="202" t="s">
        <v>204</v>
      </c>
      <c r="H31" s="155" t="s">
        <v>369</v>
      </c>
    </row>
    <row r="32" spans="1:8" hidden="1" x14ac:dyDescent="0.2">
      <c r="A32" s="153">
        <v>500</v>
      </c>
      <c r="B32" s="154" t="s">
        <v>137</v>
      </c>
      <c r="C32" s="154" t="s">
        <v>354</v>
      </c>
      <c r="D32" s="154" t="s">
        <v>226</v>
      </c>
      <c r="E32" s="155" t="s">
        <v>243</v>
      </c>
      <c r="F32" s="156">
        <v>46242</v>
      </c>
      <c r="G32" s="157" t="s">
        <v>117</v>
      </c>
      <c r="H32" s="155"/>
    </row>
    <row r="33" spans="1:8" hidden="1" x14ac:dyDescent="0.2">
      <c r="A33" s="153">
        <v>501</v>
      </c>
      <c r="B33" s="154" t="s">
        <v>138</v>
      </c>
      <c r="C33" s="154" t="s">
        <v>356</v>
      </c>
      <c r="D33" s="154" t="s">
        <v>226</v>
      </c>
      <c r="E33" s="155" t="s">
        <v>243</v>
      </c>
      <c r="F33" s="156">
        <v>46066</v>
      </c>
      <c r="G33" s="157" t="s">
        <v>117</v>
      </c>
      <c r="H33" s="155"/>
    </row>
    <row r="34" spans="1:8" hidden="1" x14ac:dyDescent="0.2">
      <c r="A34" s="153">
        <v>504</v>
      </c>
      <c r="B34" s="154" t="s">
        <v>251</v>
      </c>
      <c r="C34" s="154" t="s">
        <v>167</v>
      </c>
      <c r="D34" s="154" t="s">
        <v>258</v>
      </c>
      <c r="E34" s="155" t="s">
        <v>250</v>
      </c>
      <c r="F34" s="156">
        <v>47041</v>
      </c>
      <c r="G34" s="157" t="s">
        <v>117</v>
      </c>
      <c r="H34" s="155"/>
    </row>
    <row r="35" spans="1:8" x14ac:dyDescent="0.2">
      <c r="A35" s="153">
        <v>505</v>
      </c>
      <c r="B35" s="154" t="s">
        <v>270</v>
      </c>
      <c r="C35" s="154" t="s">
        <v>349</v>
      </c>
      <c r="D35" s="154" t="s">
        <v>218</v>
      </c>
      <c r="E35" s="155" t="s">
        <v>250</v>
      </c>
      <c r="F35" s="156">
        <v>46275</v>
      </c>
      <c r="G35" s="157"/>
      <c r="H35" s="155" t="s">
        <v>381</v>
      </c>
    </row>
    <row r="36" spans="1:8" x14ac:dyDescent="0.2">
      <c r="A36" s="153">
        <v>507</v>
      </c>
      <c r="B36" s="154" t="s">
        <v>252</v>
      </c>
      <c r="C36" s="154" t="s">
        <v>352</v>
      </c>
      <c r="D36" s="154" t="s">
        <v>262</v>
      </c>
      <c r="E36" s="155" t="s">
        <v>250</v>
      </c>
      <c r="F36" s="156">
        <v>46478</v>
      </c>
      <c r="G36" s="157"/>
      <c r="H36" s="155" t="s">
        <v>381</v>
      </c>
    </row>
    <row r="37" spans="1:8" hidden="1" x14ac:dyDescent="0.2">
      <c r="A37" s="153">
        <v>509</v>
      </c>
      <c r="B37" s="154" t="s">
        <v>253</v>
      </c>
      <c r="C37" s="154" t="s">
        <v>353</v>
      </c>
      <c r="D37" s="154" t="s">
        <v>261</v>
      </c>
      <c r="E37" s="155" t="s">
        <v>250</v>
      </c>
      <c r="F37" s="156">
        <v>46486</v>
      </c>
      <c r="G37" s="157" t="s">
        <v>117</v>
      </c>
      <c r="H37" s="155"/>
    </row>
    <row r="38" spans="1:8" x14ac:dyDescent="0.2">
      <c r="A38" s="153">
        <v>510</v>
      </c>
      <c r="B38" s="154" t="s">
        <v>254</v>
      </c>
      <c r="C38" s="154" t="s">
        <v>348</v>
      </c>
      <c r="D38" s="154" t="s">
        <v>260</v>
      </c>
      <c r="E38" s="155" t="s">
        <v>250</v>
      </c>
      <c r="F38" s="156">
        <v>46387</v>
      </c>
      <c r="G38" s="157"/>
      <c r="H38" s="155" t="s">
        <v>389</v>
      </c>
    </row>
    <row r="39" spans="1:8" hidden="1" x14ac:dyDescent="0.2">
      <c r="A39" s="153">
        <v>511</v>
      </c>
      <c r="B39" s="154" t="s">
        <v>256</v>
      </c>
      <c r="C39" s="154"/>
      <c r="D39" s="154" t="s">
        <v>271</v>
      </c>
      <c r="E39" s="155" t="s">
        <v>250</v>
      </c>
      <c r="F39" s="156">
        <v>46142</v>
      </c>
      <c r="G39" s="157" t="s">
        <v>204</v>
      </c>
      <c r="H39" s="155"/>
    </row>
    <row r="40" spans="1:8" hidden="1" x14ac:dyDescent="0.2">
      <c r="A40" s="153">
        <v>513</v>
      </c>
      <c r="B40" s="154" t="s">
        <v>257</v>
      </c>
      <c r="C40" s="154" t="s">
        <v>350</v>
      </c>
      <c r="D40" s="154" t="s">
        <v>258</v>
      </c>
      <c r="E40" s="155" t="s">
        <v>250</v>
      </c>
      <c r="F40" s="156">
        <v>47105</v>
      </c>
      <c r="G40" s="157" t="s">
        <v>117</v>
      </c>
      <c r="H40" s="155"/>
    </row>
    <row r="41" spans="1:8" hidden="1" x14ac:dyDescent="0.2">
      <c r="A41" s="153">
        <v>514</v>
      </c>
      <c r="B41" s="154" t="s">
        <v>223</v>
      </c>
      <c r="C41" s="154" t="s">
        <v>351</v>
      </c>
      <c r="D41" s="154" t="s">
        <v>259</v>
      </c>
      <c r="E41" s="155" t="s">
        <v>250</v>
      </c>
      <c r="F41" s="156">
        <v>46507</v>
      </c>
      <c r="G41" s="157" t="s">
        <v>117</v>
      </c>
      <c r="H41" s="155"/>
    </row>
    <row r="42" spans="1:8" hidden="1" x14ac:dyDescent="0.2">
      <c r="A42" s="153">
        <v>515</v>
      </c>
      <c r="B42" s="154" t="s">
        <v>22</v>
      </c>
      <c r="C42" s="154" t="s">
        <v>367</v>
      </c>
      <c r="D42" s="154" t="s">
        <v>199</v>
      </c>
      <c r="E42" s="155" t="s">
        <v>250</v>
      </c>
      <c r="F42" s="156">
        <v>47114</v>
      </c>
      <c r="G42" s="157" t="s">
        <v>117</v>
      </c>
      <c r="H42" s="155"/>
    </row>
    <row r="43" spans="1:8" hidden="1" x14ac:dyDescent="0.2">
      <c r="A43" s="153">
        <v>518</v>
      </c>
      <c r="B43" s="154" t="s">
        <v>290</v>
      </c>
      <c r="C43" s="154"/>
      <c r="D43" s="154" t="s">
        <v>316</v>
      </c>
      <c r="E43" s="155" t="s">
        <v>250</v>
      </c>
      <c r="F43" s="156">
        <v>46212</v>
      </c>
      <c r="G43" s="157" t="s">
        <v>117</v>
      </c>
      <c r="H43" s="155"/>
    </row>
    <row r="44" spans="1:8" hidden="1" x14ac:dyDescent="0.2">
      <c r="A44" s="153">
        <v>520</v>
      </c>
      <c r="B44" s="154" t="s">
        <v>267</v>
      </c>
      <c r="C44" s="154"/>
      <c r="D44" s="154" t="s">
        <v>266</v>
      </c>
      <c r="E44" s="155" t="s">
        <v>250</v>
      </c>
      <c r="F44" s="156">
        <v>47106</v>
      </c>
      <c r="G44" s="157" t="s">
        <v>117</v>
      </c>
      <c r="H44" s="155"/>
    </row>
    <row r="45" spans="1:8" hidden="1" x14ac:dyDescent="0.2">
      <c r="A45" s="153">
        <v>517</v>
      </c>
      <c r="B45" s="154" t="s">
        <v>127</v>
      </c>
      <c r="C45" s="154" t="s">
        <v>152</v>
      </c>
      <c r="D45" s="154" t="s">
        <v>225</v>
      </c>
      <c r="E45" s="155" t="s">
        <v>243</v>
      </c>
      <c r="F45" s="156">
        <v>47209</v>
      </c>
      <c r="G45" s="157" t="s">
        <v>117</v>
      </c>
      <c r="H45" s="155"/>
    </row>
    <row r="46" spans="1:8" hidden="1" x14ac:dyDescent="0.2">
      <c r="A46" s="153">
        <v>478</v>
      </c>
      <c r="B46" s="154" t="s">
        <v>109</v>
      </c>
      <c r="C46" s="154" t="s">
        <v>347</v>
      </c>
      <c r="D46" s="154" t="s">
        <v>265</v>
      </c>
      <c r="E46" s="155" t="s">
        <v>264</v>
      </c>
      <c r="F46" s="156">
        <v>46444</v>
      </c>
      <c r="G46" s="157" t="s">
        <v>117</v>
      </c>
      <c r="H46" s="155" t="s">
        <v>382</v>
      </c>
    </row>
    <row r="47" spans="1:8" hidden="1" x14ac:dyDescent="0.2">
      <c r="A47" s="153">
        <v>458</v>
      </c>
      <c r="B47" s="154" t="s">
        <v>103</v>
      </c>
      <c r="C47" s="154" t="s">
        <v>355</v>
      </c>
      <c r="D47" s="154" t="s">
        <v>226</v>
      </c>
      <c r="E47" s="155" t="s">
        <v>264</v>
      </c>
      <c r="F47" s="156">
        <v>46908</v>
      </c>
      <c r="G47" s="202" t="s">
        <v>204</v>
      </c>
      <c r="H47" s="155"/>
    </row>
    <row r="48" spans="1:8" hidden="1" x14ac:dyDescent="0.2">
      <c r="A48" s="153">
        <v>465</v>
      </c>
      <c r="B48" s="154" t="s">
        <v>106</v>
      </c>
      <c r="C48" s="154" t="s">
        <v>348</v>
      </c>
      <c r="D48" s="154" t="s">
        <v>261</v>
      </c>
      <c r="E48" s="155" t="s">
        <v>264</v>
      </c>
      <c r="F48" s="156">
        <v>46446</v>
      </c>
      <c r="G48" s="157" t="s">
        <v>117</v>
      </c>
      <c r="H48" s="155"/>
    </row>
    <row r="49" spans="1:8" hidden="1" x14ac:dyDescent="0.2">
      <c r="A49" s="153">
        <v>522</v>
      </c>
      <c r="B49" s="154" t="s">
        <v>337</v>
      </c>
      <c r="C49" s="154" t="s">
        <v>368</v>
      </c>
      <c r="D49" s="154" t="s">
        <v>338</v>
      </c>
      <c r="E49" s="155" t="s">
        <v>250</v>
      </c>
      <c r="F49" s="156">
        <v>46589</v>
      </c>
      <c r="G49" s="202" t="s">
        <v>204</v>
      </c>
      <c r="H49" s="204" t="s">
        <v>370</v>
      </c>
    </row>
    <row r="50" spans="1:8" hidden="1" x14ac:dyDescent="0.2">
      <c r="A50" s="153">
        <v>522</v>
      </c>
      <c r="B50" s="154" t="s">
        <v>379</v>
      </c>
      <c r="C50" s="154" t="s">
        <v>368</v>
      </c>
      <c r="D50" s="154" t="s">
        <v>338</v>
      </c>
      <c r="E50" s="155" t="s">
        <v>250</v>
      </c>
      <c r="F50" s="156">
        <v>46589</v>
      </c>
      <c r="G50" s="157" t="s">
        <v>380</v>
      </c>
      <c r="H50" s="155"/>
    </row>
    <row r="52" spans="1:8" x14ac:dyDescent="0.2">
      <c r="B52" s="163"/>
      <c r="C52" s="161" t="s">
        <v>286</v>
      </c>
    </row>
    <row r="54" spans="1:8" x14ac:dyDescent="0.2">
      <c r="B54" s="164"/>
      <c r="C54" s="162" t="s">
        <v>287</v>
      </c>
    </row>
    <row r="58" spans="1:8" x14ac:dyDescent="0.2">
      <c r="B58" s="207" t="s">
        <v>387</v>
      </c>
      <c r="C58" s="1"/>
      <c r="D58" s="1"/>
    </row>
    <row r="59" spans="1:8" x14ac:dyDescent="0.2">
      <c r="B59" s="1"/>
      <c r="C59" s="1"/>
      <c r="D59" s="1"/>
    </row>
    <row r="60" spans="1:8" x14ac:dyDescent="0.2">
      <c r="B60" s="1"/>
      <c r="C60" s="1"/>
      <c r="D60" s="1"/>
    </row>
    <row r="61" spans="1:8" x14ac:dyDescent="0.2">
      <c r="B61" s="1"/>
      <c r="C61" s="1"/>
      <c r="D61" s="1"/>
    </row>
    <row r="62" spans="1:8" x14ac:dyDescent="0.2">
      <c r="B62" s="1"/>
      <c r="C62" s="1"/>
      <c r="D62" s="1"/>
    </row>
    <row r="63" spans="1:8" x14ac:dyDescent="0.2">
      <c r="B63" s="1"/>
      <c r="C63" s="1"/>
      <c r="D63" s="1"/>
    </row>
    <row r="64" spans="1:8" x14ac:dyDescent="0.2">
      <c r="B64" s="1"/>
      <c r="C64" s="1"/>
      <c r="D64" s="1"/>
    </row>
    <row r="65" spans="2:4" x14ac:dyDescent="0.2">
      <c r="B65" s="1"/>
      <c r="C65" s="1"/>
      <c r="D65" s="1"/>
    </row>
    <row r="66" spans="2:4" x14ac:dyDescent="0.2">
      <c r="B66" s="1"/>
      <c r="C66" s="1"/>
      <c r="D66" s="1"/>
    </row>
    <row r="67" spans="2:4" x14ac:dyDescent="0.2">
      <c r="B67" s="1"/>
      <c r="C67" s="1"/>
      <c r="D67" s="1"/>
    </row>
    <row r="68" spans="2:4" x14ac:dyDescent="0.2">
      <c r="B68" s="1"/>
      <c r="C68" s="1"/>
      <c r="D68" s="1"/>
    </row>
    <row r="69" spans="2:4" x14ac:dyDescent="0.2">
      <c r="B69" s="1"/>
      <c r="C69" s="1"/>
      <c r="D69" s="1"/>
    </row>
    <row r="70" spans="2:4" x14ac:dyDescent="0.2">
      <c r="B70" s="1"/>
      <c r="C70" s="1"/>
      <c r="D70" s="1"/>
    </row>
    <row r="71" spans="2:4" x14ac:dyDescent="0.2">
      <c r="B71" s="1"/>
      <c r="C71" s="1"/>
      <c r="D71" s="1"/>
    </row>
    <row r="72" spans="2:4" x14ac:dyDescent="0.2">
      <c r="C72" s="1"/>
    </row>
    <row r="73" spans="2:4" x14ac:dyDescent="0.2">
      <c r="C73" s="1"/>
    </row>
    <row r="74" spans="2:4" x14ac:dyDescent="0.2">
      <c r="C74" s="1"/>
    </row>
    <row r="75" spans="2:4" x14ac:dyDescent="0.2">
      <c r="C75" s="1"/>
    </row>
    <row r="76" spans="2:4" x14ac:dyDescent="0.2">
      <c r="C76" s="1"/>
    </row>
    <row r="77" spans="2:4" x14ac:dyDescent="0.2">
      <c r="C77" s="1"/>
    </row>
    <row r="78" spans="2:4" x14ac:dyDescent="0.2">
      <c r="C78" s="1"/>
    </row>
    <row r="79" spans="2:4" x14ac:dyDescent="0.2">
      <c r="C79" s="1"/>
    </row>
    <row r="80" spans="2:4" x14ac:dyDescent="0.2">
      <c r="C80" s="1"/>
    </row>
    <row r="81" spans="3:3" x14ac:dyDescent="0.2">
      <c r="C81" s="1"/>
    </row>
    <row r="82" spans="3:3" x14ac:dyDescent="0.2">
      <c r="C82" s="1"/>
    </row>
    <row r="83" spans="3:3" x14ac:dyDescent="0.2">
      <c r="C83" s="1"/>
    </row>
    <row r="84" spans="3:3" x14ac:dyDescent="0.2">
      <c r="C84" s="1"/>
    </row>
    <row r="85" spans="3:3" x14ac:dyDescent="0.2">
      <c r="C85" s="1"/>
    </row>
    <row r="86" spans="3:3" x14ac:dyDescent="0.2">
      <c r="C86" s="1"/>
    </row>
    <row r="87" spans="3:3" x14ac:dyDescent="0.2">
      <c r="C87" s="1"/>
    </row>
    <row r="88" spans="3:3" x14ac:dyDescent="0.2">
      <c r="C88" s="1"/>
    </row>
    <row r="89" spans="3:3" x14ac:dyDescent="0.2">
      <c r="C89" s="1"/>
    </row>
    <row r="90" spans="3:3" x14ac:dyDescent="0.2">
      <c r="C90" s="1"/>
    </row>
  </sheetData>
  <autoFilter ref="A1:H50" xr:uid="{8A58E3FC-7F74-8C4C-94A9-C6A6B695C522}">
    <filterColumn colId="6">
      <filters blank="1"/>
    </filterColumn>
  </autoFilter>
  <hyperlinks>
    <hyperlink ref="C38" r:id="rId1" display="mailto:jheijne@ered.nl" xr:uid="{54E3C1B5-4451-1642-8467-93B6DE2B0F2A}"/>
    <hyperlink ref="C22" r:id="rId2" xr:uid="{FBD80315-EAC0-0A4B-B20E-C202928EF6EB}"/>
    <hyperlink ref="C9" r:id="rId3" xr:uid="{9A575AD8-CB90-B848-B505-6DD2D7080B7A}"/>
    <hyperlink ref="C11" r:id="rId4" xr:uid="{20C0B7F4-9F0F-8549-96DC-A65C772FFF1F}"/>
    <hyperlink ref="C7" r:id="rId5" xr:uid="{A466A18D-7079-014C-9C78-96DA9F15D88E}"/>
    <hyperlink ref="C5" r:id="rId6" xr:uid="{DBF8D6F4-C31D-214A-BC35-10D845C1F02A}"/>
    <hyperlink ref="C3" r:id="rId7" display="hans.hogeslag@familybeef.nl" xr:uid="{26265C96-3D57-7F47-BDF6-E8E0FFAB682F}"/>
    <hyperlink ref="C48" r:id="rId8" display="mailto:jheijne@ered.nl" xr:uid="{0BE0E1C1-26D5-0947-AC7E-97E82BFB955D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85144B-7CE4-334B-A0B4-D91E9AC675EC}">
  <sheetPr>
    <tabColor theme="4"/>
  </sheetPr>
  <dimension ref="A1:O47"/>
  <sheetViews>
    <sheetView showGridLines="0" tabSelected="1" workbookViewId="0">
      <pane xSplit="1" topLeftCell="C1" activePane="topRight" state="frozen"/>
      <selection pane="topRight" activeCell="I4" sqref="I4"/>
    </sheetView>
  </sheetViews>
  <sheetFormatPr baseColWidth="10" defaultRowHeight="16" outlineLevelCol="2" x14ac:dyDescent="0.2"/>
  <cols>
    <col min="1" max="1" width="30.6640625" customWidth="1"/>
    <col min="2" max="2" width="15" style="1" customWidth="1"/>
    <col min="3" max="3" width="62" customWidth="1"/>
    <col min="4" max="4" width="20.83203125" style="1" hidden="1" customWidth="1"/>
    <col min="5" max="6" width="12.33203125" hidden="1" customWidth="1" outlineLevel="2"/>
    <col min="7" max="7" width="12.33203125" style="1" hidden="1" customWidth="1" outlineLevel="1" collapsed="1"/>
    <col min="8" max="8" width="30.6640625" style="1" customWidth="1" collapsed="1"/>
    <col min="9" max="9" width="38.83203125" style="1" bestFit="1" customWidth="1"/>
    <col min="10" max="10" width="14.83203125" style="1" customWidth="1"/>
    <col min="11" max="11" width="21.5" style="1" customWidth="1"/>
    <col min="12" max="12" width="18" style="1" customWidth="1"/>
    <col min="13" max="13" width="20.6640625" style="1" customWidth="1"/>
    <col min="14" max="14" width="16.83203125" style="1" customWidth="1"/>
    <col min="15" max="15" width="53.1640625" style="1" customWidth="1"/>
  </cols>
  <sheetData>
    <row r="1" spans="1:15" s="69" customFormat="1" ht="29" customHeight="1" thickBot="1" x14ac:dyDescent="0.25">
      <c r="A1" s="113" t="s">
        <v>151</v>
      </c>
      <c r="B1" s="113" t="s">
        <v>0</v>
      </c>
      <c r="C1" s="113" t="s">
        <v>8</v>
      </c>
      <c r="D1" s="114" t="s">
        <v>3</v>
      </c>
      <c r="E1" s="169" t="s">
        <v>73</v>
      </c>
      <c r="F1" s="166" t="s">
        <v>74</v>
      </c>
      <c r="G1" s="115" t="s">
        <v>296</v>
      </c>
      <c r="H1" s="115" t="s">
        <v>394</v>
      </c>
      <c r="I1" s="115" t="s">
        <v>324</v>
      </c>
      <c r="J1" s="115" t="s">
        <v>342</v>
      </c>
      <c r="K1" s="115" t="s">
        <v>340</v>
      </c>
      <c r="L1" s="115" t="s">
        <v>341</v>
      </c>
      <c r="M1" s="115" t="s">
        <v>277</v>
      </c>
      <c r="N1" s="115" t="s">
        <v>307</v>
      </c>
      <c r="O1" s="115" t="s">
        <v>150</v>
      </c>
    </row>
    <row r="2" spans="1:15" ht="18" thickTop="1" x14ac:dyDescent="0.2">
      <c r="A2" s="116" t="s">
        <v>152</v>
      </c>
      <c r="B2" s="110" t="s">
        <v>288</v>
      </c>
      <c r="C2" s="50" t="s">
        <v>12</v>
      </c>
      <c r="D2" s="119"/>
      <c r="E2" s="52"/>
      <c r="F2" s="167"/>
      <c r="G2" s="107" t="s">
        <v>163</v>
      </c>
      <c r="H2" s="107" t="s">
        <v>163</v>
      </c>
      <c r="I2" s="192">
        <v>1563490</v>
      </c>
      <c r="J2" s="208">
        <f>I2/411000</f>
        <v>3.8041119221411193</v>
      </c>
      <c r="K2" s="107"/>
      <c r="L2" s="107"/>
      <c r="M2" s="107">
        <v>1.5</v>
      </c>
      <c r="N2" s="107"/>
      <c r="O2" s="170" t="s">
        <v>325</v>
      </c>
    </row>
    <row r="3" spans="1:15" ht="17" x14ac:dyDescent="0.2">
      <c r="A3" s="116" t="s">
        <v>153</v>
      </c>
      <c r="B3" s="110" t="s">
        <v>37</v>
      </c>
      <c r="C3" s="50" t="s">
        <v>38</v>
      </c>
      <c r="D3" s="106"/>
      <c r="E3" s="52"/>
      <c r="F3" s="167"/>
      <c r="G3" s="107" t="s">
        <v>163</v>
      </c>
      <c r="H3" s="107" t="s">
        <v>163</v>
      </c>
      <c r="I3" s="192">
        <v>1576500.9517431203</v>
      </c>
      <c r="J3" s="208">
        <f>I3/(6700000*7.95%)</f>
        <v>2.9597314404263968</v>
      </c>
      <c r="K3" s="107"/>
      <c r="L3" s="107"/>
      <c r="M3" s="107">
        <v>1.8</v>
      </c>
      <c r="N3" s="107"/>
      <c r="O3" s="107"/>
    </row>
    <row r="4" spans="1:15" ht="17" x14ac:dyDescent="0.2">
      <c r="A4" s="116" t="s">
        <v>154</v>
      </c>
      <c r="B4" s="110" t="s">
        <v>42</v>
      </c>
      <c r="C4" s="50" t="s">
        <v>43</v>
      </c>
      <c r="D4" s="119"/>
      <c r="E4" s="52"/>
      <c r="F4" s="167"/>
      <c r="G4" s="107" t="s">
        <v>163</v>
      </c>
      <c r="H4" s="107" t="s">
        <v>163</v>
      </c>
      <c r="I4" s="192">
        <v>4971793</v>
      </c>
      <c r="J4" s="107" t="s">
        <v>392</v>
      </c>
      <c r="K4" s="107"/>
      <c r="L4" s="107"/>
      <c r="M4" s="107" t="s">
        <v>391</v>
      </c>
      <c r="N4" s="107"/>
      <c r="O4" s="212" t="s">
        <v>390</v>
      </c>
    </row>
    <row r="5" spans="1:15" ht="17" x14ac:dyDescent="0.2">
      <c r="A5" s="118" t="s">
        <v>160</v>
      </c>
      <c r="B5" s="111" t="s">
        <v>44</v>
      </c>
      <c r="C5" s="35" t="s">
        <v>45</v>
      </c>
      <c r="D5" s="106"/>
      <c r="E5" s="31"/>
      <c r="F5" s="167"/>
      <c r="G5" s="107" t="s">
        <v>163</v>
      </c>
      <c r="H5" s="201" t="s">
        <v>163</v>
      </c>
      <c r="I5" s="192">
        <v>256000</v>
      </c>
      <c r="J5" s="107" t="s">
        <v>204</v>
      </c>
      <c r="K5" s="107"/>
      <c r="L5" s="107"/>
      <c r="M5" s="107" t="s">
        <v>163</v>
      </c>
      <c r="N5" s="107"/>
      <c r="O5" s="107"/>
    </row>
    <row r="6" spans="1:15" ht="17" x14ac:dyDescent="0.2">
      <c r="A6" s="117" t="s">
        <v>155</v>
      </c>
      <c r="B6" s="112" t="s">
        <v>46</v>
      </c>
      <c r="C6" t="s">
        <v>47</v>
      </c>
      <c r="D6" s="119"/>
      <c r="E6" s="52"/>
      <c r="F6" s="142"/>
      <c r="G6" s="108" t="s">
        <v>163</v>
      </c>
      <c r="H6" s="201" t="s">
        <v>343</v>
      </c>
      <c r="I6" s="210">
        <v>1098294</v>
      </c>
      <c r="J6" s="211">
        <f>I6/459000</f>
        <v>2.392797385620915</v>
      </c>
      <c r="K6" s="108"/>
      <c r="L6" s="108"/>
      <c r="M6" s="107">
        <v>1.5</v>
      </c>
      <c r="N6" s="108"/>
      <c r="O6" s="108" t="s">
        <v>388</v>
      </c>
    </row>
    <row r="7" spans="1:15" x14ac:dyDescent="0.2">
      <c r="A7" s="98"/>
      <c r="B7" s="112"/>
      <c r="C7" t="s">
        <v>84</v>
      </c>
      <c r="D7" s="119"/>
      <c r="E7" s="3"/>
      <c r="F7" s="168"/>
      <c r="G7" s="109" t="s">
        <v>163</v>
      </c>
      <c r="H7" s="109"/>
      <c r="I7" s="109"/>
      <c r="J7" s="109"/>
      <c r="K7" s="109"/>
      <c r="L7" s="109"/>
      <c r="M7" s="109"/>
      <c r="N7" s="109"/>
      <c r="O7" s="165" t="s">
        <v>293</v>
      </c>
    </row>
    <row r="8" spans="1:15" ht="17" hidden="1" x14ac:dyDescent="0.2">
      <c r="A8" s="116" t="s">
        <v>156</v>
      </c>
      <c r="B8" s="110" t="s">
        <v>54</v>
      </c>
      <c r="C8" s="50" t="s">
        <v>55</v>
      </c>
      <c r="D8" s="119"/>
      <c r="E8" s="52"/>
      <c r="F8" s="167"/>
      <c r="G8" s="107" t="s">
        <v>163</v>
      </c>
      <c r="H8" s="107" t="s">
        <v>204</v>
      </c>
      <c r="I8" s="107"/>
      <c r="J8" s="107"/>
      <c r="K8" s="107"/>
      <c r="L8" s="107"/>
      <c r="M8" s="107"/>
      <c r="N8" s="107"/>
      <c r="O8" s="170" t="s">
        <v>301</v>
      </c>
    </row>
    <row r="9" spans="1:15" ht="17" x14ac:dyDescent="0.2">
      <c r="A9" s="116" t="s">
        <v>161</v>
      </c>
      <c r="B9" s="110" t="s">
        <v>57</v>
      </c>
      <c r="C9" s="50" t="s">
        <v>58</v>
      </c>
      <c r="D9" s="119"/>
      <c r="E9" s="52"/>
      <c r="F9" s="167"/>
      <c r="G9" s="107" t="s">
        <v>163</v>
      </c>
      <c r="H9" s="107" t="s">
        <v>204</v>
      </c>
      <c r="I9" s="107"/>
      <c r="J9" s="107"/>
      <c r="K9" s="107"/>
      <c r="L9" s="107"/>
      <c r="M9" s="107"/>
      <c r="N9" s="107"/>
      <c r="O9" s="170" t="s">
        <v>300</v>
      </c>
    </row>
    <row r="10" spans="1:15" ht="17" x14ac:dyDescent="0.2">
      <c r="A10" s="116" t="s">
        <v>157</v>
      </c>
      <c r="B10" s="110" t="s">
        <v>89</v>
      </c>
      <c r="C10" s="50" t="s">
        <v>98</v>
      </c>
      <c r="D10" s="119"/>
      <c r="E10" s="52"/>
      <c r="F10" s="167"/>
      <c r="G10" s="107" t="s">
        <v>163</v>
      </c>
      <c r="H10" s="107" t="s">
        <v>204</v>
      </c>
      <c r="I10" s="107"/>
      <c r="J10" s="107"/>
      <c r="K10" s="107"/>
      <c r="L10" s="107"/>
      <c r="M10" s="107"/>
      <c r="N10" s="107"/>
      <c r="O10" s="107" t="s">
        <v>302</v>
      </c>
    </row>
    <row r="11" spans="1:15" ht="17" x14ac:dyDescent="0.2">
      <c r="A11" s="116" t="s">
        <v>158</v>
      </c>
      <c r="B11" s="110" t="s">
        <v>90</v>
      </c>
      <c r="C11" s="50" t="s">
        <v>97</v>
      </c>
      <c r="D11" s="119"/>
      <c r="E11" s="52"/>
      <c r="F11" s="167"/>
      <c r="G11" s="107" t="s">
        <v>163</v>
      </c>
      <c r="H11" s="107" t="s">
        <v>163</v>
      </c>
      <c r="I11" s="175">
        <v>189000</v>
      </c>
      <c r="J11" s="107" t="s">
        <v>204</v>
      </c>
      <c r="K11" s="107"/>
      <c r="L11" s="107"/>
      <c r="M11" s="107" t="s">
        <v>163</v>
      </c>
      <c r="N11" s="107"/>
      <c r="O11" s="107"/>
    </row>
    <row r="12" spans="1:15" ht="17" x14ac:dyDescent="0.2">
      <c r="A12" s="118" t="s">
        <v>159</v>
      </c>
      <c r="B12" s="111" t="s">
        <v>92</v>
      </c>
      <c r="C12" s="29" t="s">
        <v>100</v>
      </c>
      <c r="D12" s="127"/>
      <c r="E12" s="31"/>
      <c r="F12" s="167"/>
      <c r="G12" s="107" t="s">
        <v>163</v>
      </c>
      <c r="H12" s="107" t="s">
        <v>163</v>
      </c>
      <c r="I12" s="192">
        <v>43000</v>
      </c>
      <c r="J12" s="107" t="s">
        <v>204</v>
      </c>
      <c r="K12" s="107"/>
      <c r="L12" s="107"/>
      <c r="M12" s="107" t="s">
        <v>163</v>
      </c>
      <c r="N12" s="107"/>
      <c r="O12" s="107"/>
    </row>
    <row r="13" spans="1:15" ht="17" x14ac:dyDescent="0.2">
      <c r="A13" s="118" t="s">
        <v>167</v>
      </c>
      <c r="B13" s="111" t="s">
        <v>168</v>
      </c>
      <c r="C13" s="29" t="s">
        <v>169</v>
      </c>
      <c r="D13" s="127"/>
      <c r="E13" s="31"/>
      <c r="F13" s="167"/>
      <c r="G13" s="107"/>
      <c r="H13" s="107" t="s">
        <v>204</v>
      </c>
      <c r="I13" s="107"/>
      <c r="J13" s="107"/>
      <c r="K13" s="107"/>
      <c r="L13" s="107"/>
      <c r="M13" s="107"/>
      <c r="N13" s="107"/>
      <c r="O13" s="107" t="s">
        <v>170</v>
      </c>
    </row>
    <row r="14" spans="1:15" ht="17" x14ac:dyDescent="0.2">
      <c r="A14" s="118" t="s">
        <v>164</v>
      </c>
      <c r="B14" s="111" t="s">
        <v>165</v>
      </c>
      <c r="C14" s="29" t="s">
        <v>166</v>
      </c>
      <c r="D14" s="127"/>
      <c r="E14" s="31"/>
      <c r="F14" s="167"/>
      <c r="G14" s="107"/>
      <c r="H14" s="107" t="s">
        <v>163</v>
      </c>
      <c r="I14" s="192">
        <v>1011068.4</v>
      </c>
      <c r="J14" s="107" t="s">
        <v>204</v>
      </c>
      <c r="K14" s="107"/>
      <c r="L14" s="107"/>
      <c r="M14" s="107" t="s">
        <v>163</v>
      </c>
      <c r="N14" s="107"/>
      <c r="O14" s="107"/>
    </row>
    <row r="15" spans="1:15" ht="17" x14ac:dyDescent="0.2">
      <c r="A15" s="118" t="s">
        <v>175</v>
      </c>
      <c r="B15" s="111" t="s">
        <v>176</v>
      </c>
      <c r="C15" s="94" t="s">
        <v>174</v>
      </c>
      <c r="D15" s="127"/>
      <c r="E15" s="31"/>
      <c r="F15" s="167"/>
      <c r="G15" s="107"/>
      <c r="H15" s="107" t="s">
        <v>204</v>
      </c>
      <c r="I15" s="107"/>
      <c r="J15" s="107"/>
      <c r="K15" s="107"/>
      <c r="L15" s="107"/>
      <c r="M15" s="107"/>
      <c r="N15" s="107"/>
      <c r="O15" s="107" t="s">
        <v>179</v>
      </c>
    </row>
    <row r="16" spans="1:15" ht="17" x14ac:dyDescent="0.2">
      <c r="A16" s="131" t="s">
        <v>188</v>
      </c>
      <c r="B16" s="111" t="s">
        <v>186</v>
      </c>
      <c r="C16" s="94" t="s">
        <v>187</v>
      </c>
      <c r="D16" s="127"/>
      <c r="E16" s="31"/>
      <c r="F16" s="167"/>
      <c r="G16" s="107"/>
      <c r="H16" s="107" t="s">
        <v>204</v>
      </c>
      <c r="I16" s="107"/>
      <c r="J16" s="107"/>
      <c r="K16" s="107"/>
      <c r="L16" s="107"/>
      <c r="M16" s="107"/>
      <c r="N16" s="107"/>
      <c r="O16" s="107" t="s">
        <v>189</v>
      </c>
    </row>
    <row r="17" spans="1:15" ht="17" x14ac:dyDescent="0.2">
      <c r="A17" s="131" t="s">
        <v>299</v>
      </c>
      <c r="B17" s="111" t="s">
        <v>294</v>
      </c>
      <c r="C17" s="94" t="s">
        <v>297</v>
      </c>
      <c r="D17" s="127"/>
      <c r="E17" s="31"/>
      <c r="F17" s="167"/>
      <c r="G17" s="107"/>
      <c r="H17" s="107" t="s">
        <v>204</v>
      </c>
      <c r="I17" s="175">
        <v>1258047</v>
      </c>
      <c r="J17" s="208">
        <f>I17/(8250000*7.15%)</f>
        <v>2.1327349014621739</v>
      </c>
      <c r="K17" s="107"/>
      <c r="L17" s="107"/>
      <c r="M17" s="107">
        <v>1.6</v>
      </c>
      <c r="N17" s="175">
        <v>1000000</v>
      </c>
      <c r="O17" s="107" t="s">
        <v>303</v>
      </c>
    </row>
    <row r="18" spans="1:15" ht="17" x14ac:dyDescent="0.2">
      <c r="A18" s="131" t="s">
        <v>221</v>
      </c>
      <c r="B18" s="111" t="s">
        <v>220</v>
      </c>
      <c r="C18" s="94" t="s">
        <v>222</v>
      </c>
      <c r="D18" s="127"/>
      <c r="E18" s="31"/>
      <c r="F18" s="167"/>
      <c r="G18" s="107"/>
      <c r="H18" s="107" t="s">
        <v>163</v>
      </c>
      <c r="I18" s="175">
        <v>13036.89</v>
      </c>
      <c r="J18" s="107" t="s">
        <v>204</v>
      </c>
      <c r="K18" s="107"/>
      <c r="L18" s="107"/>
      <c r="M18" s="107" t="s">
        <v>163</v>
      </c>
      <c r="N18" s="107"/>
      <c r="O18" s="107"/>
    </row>
    <row r="19" spans="1:15" ht="17" x14ac:dyDescent="0.2">
      <c r="A19" s="131" t="s">
        <v>298</v>
      </c>
      <c r="B19" s="111" t="s">
        <v>295</v>
      </c>
      <c r="C19" s="80" t="s">
        <v>267</v>
      </c>
      <c r="D19" s="127"/>
      <c r="E19" s="31"/>
      <c r="F19" s="167"/>
      <c r="G19" s="107"/>
      <c r="H19" s="107" t="s">
        <v>204</v>
      </c>
      <c r="I19" s="175">
        <v>1500000</v>
      </c>
      <c r="J19" s="208">
        <f>I19/(8000000*8%)</f>
        <v>2.34375</v>
      </c>
      <c r="K19" s="107"/>
      <c r="L19" s="107"/>
      <c r="M19" s="107">
        <v>1.5</v>
      </c>
      <c r="N19" s="107"/>
      <c r="O19" s="107" t="s">
        <v>393</v>
      </c>
    </row>
    <row r="20" spans="1:15" x14ac:dyDescent="0.2">
      <c r="H20" s="190" t="s">
        <v>326</v>
      </c>
      <c r="I20" s="200" t="s">
        <v>339</v>
      </c>
    </row>
    <row r="22" spans="1:15" x14ac:dyDescent="0.2">
      <c r="A22" s="163"/>
      <c r="B22" s="161" t="s">
        <v>286</v>
      </c>
    </row>
    <row r="23" spans="1:15" x14ac:dyDescent="0.2">
      <c r="B23"/>
    </row>
    <row r="24" spans="1:15" x14ac:dyDescent="0.2">
      <c r="A24" s="164"/>
      <c r="B24" s="162" t="s">
        <v>287</v>
      </c>
    </row>
    <row r="25" spans="1:15" ht="17" hidden="1" x14ac:dyDescent="0.2">
      <c r="A25" s="131" t="s">
        <v>291</v>
      </c>
      <c r="B25" s="111" t="s">
        <v>289</v>
      </c>
      <c r="C25" s="94" t="s">
        <v>290</v>
      </c>
      <c r="D25" s="127"/>
      <c r="E25" s="31"/>
      <c r="F25" s="37"/>
      <c r="G25" s="107"/>
      <c r="H25" s="107"/>
      <c r="I25" s="107"/>
      <c r="J25" s="107"/>
      <c r="K25" s="107"/>
      <c r="L25" s="107"/>
      <c r="M25" s="107"/>
      <c r="N25" s="107"/>
      <c r="O25" s="107"/>
    </row>
    <row r="26" spans="1:15" x14ac:dyDescent="0.2">
      <c r="I26" s="197"/>
    </row>
    <row r="27" spans="1:15" x14ac:dyDescent="0.2">
      <c r="A27" s="5" t="s">
        <v>163</v>
      </c>
      <c r="B27" s="161" t="s">
        <v>344</v>
      </c>
    </row>
    <row r="29" spans="1:15" x14ac:dyDescent="0.2">
      <c r="I29" s="198"/>
    </row>
    <row r="30" spans="1:15" x14ac:dyDescent="0.2">
      <c r="C30" s="218"/>
    </row>
    <row r="34" spans="2:3" x14ac:dyDescent="0.2">
      <c r="C34" s="209"/>
    </row>
    <row r="37" spans="2:3" x14ac:dyDescent="0.2">
      <c r="C37" s="209"/>
    </row>
    <row r="39" spans="2:3" x14ac:dyDescent="0.2">
      <c r="B39" s="189"/>
    </row>
    <row r="40" spans="2:3" x14ac:dyDescent="0.2">
      <c r="B40"/>
    </row>
    <row r="41" spans="2:3" x14ac:dyDescent="0.2">
      <c r="B41" s="189"/>
    </row>
    <row r="42" spans="2:3" x14ac:dyDescent="0.2">
      <c r="B42" s="189"/>
    </row>
    <row r="43" spans="2:3" x14ac:dyDescent="0.2">
      <c r="B43" s="189"/>
    </row>
    <row r="44" spans="2:3" x14ac:dyDescent="0.2">
      <c r="B44" s="189"/>
    </row>
    <row r="45" spans="2:3" x14ac:dyDescent="0.2">
      <c r="B45" s="189"/>
    </row>
    <row r="46" spans="2:3" x14ac:dyDescent="0.2">
      <c r="B46" s="189"/>
    </row>
    <row r="47" spans="2:3" x14ac:dyDescent="0.2">
      <c r="B47" s="189"/>
    </row>
  </sheetData>
  <autoFilter ref="A1:O20" xr:uid="{A985144B-7CE4-334B-A0B4-D91E9AC675EC}"/>
  <hyperlinks>
    <hyperlink ref="A2" r:id="rId1" display="mailto:linda@polderstaete.com" xr:uid="{F46463E7-22DF-4E44-8DB0-42987D1C07A5}"/>
    <hyperlink ref="A5" r:id="rId2" tooltip="mailto:bytheamstel@gmail.com" display="mailto:bytheamstel@gmail.com" xr:uid="{105D01D2-1E62-7943-B6E1-63F83E8751B5}"/>
    <hyperlink ref="A9" r:id="rId3" tooltip="mailto:m.verhoeven@vanderwielbouw.nl" display="mailto:m.verhoeven@vanderwielbouw.nl" xr:uid="{CBA50612-0584-C647-B512-95D340C1583F}"/>
    <hyperlink ref="A14" r:id="rId4" display="mailto:remmert@bakkers-hommen.nl" xr:uid="{4A13E277-F0E2-BC40-AC02-4FD07849369D}"/>
    <hyperlink ref="A19" r:id="rId5" xr:uid="{97A2B7F3-F386-4A4D-8519-1CF14DF027CD}"/>
    <hyperlink ref="A25" r:id="rId6" xr:uid="{49479369-7E41-174A-B01B-403E5CED4E2C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E43BC0-9155-8F44-BCA9-1131BA038E51}">
  <sheetPr>
    <tabColor theme="3"/>
  </sheetPr>
  <dimension ref="A1:H37"/>
  <sheetViews>
    <sheetView showGridLines="0" workbookViewId="0">
      <selection activeCell="G23" sqref="G23"/>
    </sheetView>
  </sheetViews>
  <sheetFormatPr baseColWidth="10" defaultRowHeight="16" x14ac:dyDescent="0.2"/>
  <cols>
    <col min="1" max="1" width="39.5" customWidth="1"/>
    <col min="2" max="2" width="21.6640625" style="1" customWidth="1"/>
    <col min="3" max="3" width="22.5" style="1" bestFit="1" customWidth="1"/>
    <col min="4" max="4" width="27.5" style="1" customWidth="1"/>
    <col min="5" max="6" width="27.5" customWidth="1"/>
    <col min="7" max="7" width="49.5" bestFit="1" customWidth="1"/>
  </cols>
  <sheetData>
    <row r="1" spans="1:8" ht="17" thickBot="1" x14ac:dyDescent="0.25">
      <c r="A1" s="113" t="s">
        <v>151</v>
      </c>
      <c r="B1" s="113" t="s">
        <v>0</v>
      </c>
      <c r="C1" s="113" t="s">
        <v>8</v>
      </c>
      <c r="D1" s="115" t="s">
        <v>177</v>
      </c>
      <c r="E1" s="115" t="s">
        <v>191</v>
      </c>
      <c r="F1" s="115" t="s">
        <v>180</v>
      </c>
      <c r="G1" s="114" t="s">
        <v>3</v>
      </c>
      <c r="H1" s="141"/>
    </row>
    <row r="2" spans="1:8" ht="17" thickTop="1" x14ac:dyDescent="0.2">
      <c r="A2" s="128"/>
      <c r="B2" s="133" t="s">
        <v>190</v>
      </c>
      <c r="C2" s="20" t="s">
        <v>192</v>
      </c>
      <c r="D2" s="20" t="s">
        <v>80</v>
      </c>
      <c r="E2" s="143">
        <v>46204</v>
      </c>
      <c r="F2" s="143">
        <v>46211</v>
      </c>
      <c r="G2" s="56"/>
      <c r="H2" s="141"/>
    </row>
    <row r="3" spans="1:8" x14ac:dyDescent="0.2">
      <c r="A3" s="128"/>
      <c r="B3" s="134" t="s">
        <v>306</v>
      </c>
      <c r="C3" s="20" t="s">
        <v>193</v>
      </c>
      <c r="D3" s="20" t="s">
        <v>80</v>
      </c>
      <c r="E3" s="143">
        <v>46204</v>
      </c>
      <c r="F3" s="143">
        <v>46211</v>
      </c>
      <c r="G3" s="56"/>
      <c r="H3" s="141"/>
    </row>
    <row r="4" spans="1:8" ht="15" customHeight="1" x14ac:dyDescent="0.25">
      <c r="A4" s="128"/>
      <c r="B4" s="135" t="s">
        <v>25</v>
      </c>
      <c r="C4" s="20" t="s">
        <v>207</v>
      </c>
      <c r="D4" s="20" t="s">
        <v>80</v>
      </c>
      <c r="E4" s="143">
        <v>46204</v>
      </c>
      <c r="F4" s="143">
        <v>46211</v>
      </c>
      <c r="G4" s="206" t="s">
        <v>378</v>
      </c>
      <c r="H4" s="205"/>
    </row>
    <row r="5" spans="1:8" x14ac:dyDescent="0.2">
      <c r="A5" s="128"/>
      <c r="B5" s="135" t="s">
        <v>29</v>
      </c>
      <c r="C5" s="20" t="s">
        <v>194</v>
      </c>
      <c r="D5" s="20" t="s">
        <v>80</v>
      </c>
      <c r="E5" s="143">
        <v>46266</v>
      </c>
      <c r="F5" s="143">
        <v>46273</v>
      </c>
      <c r="G5" s="56"/>
      <c r="H5" s="141"/>
    </row>
    <row r="6" spans="1:8" x14ac:dyDescent="0.2">
      <c r="A6" s="128"/>
      <c r="B6" s="135" t="s">
        <v>35</v>
      </c>
      <c r="C6" s="20" t="s">
        <v>195</v>
      </c>
      <c r="D6" s="20" t="s">
        <v>80</v>
      </c>
      <c r="E6" s="143">
        <v>46204</v>
      </c>
      <c r="F6" s="143">
        <v>46211</v>
      </c>
      <c r="G6" s="56"/>
      <c r="H6" s="141"/>
    </row>
    <row r="7" spans="1:8" x14ac:dyDescent="0.2">
      <c r="A7" s="128"/>
      <c r="B7" s="136" t="s">
        <v>37</v>
      </c>
      <c r="C7" s="20" t="s">
        <v>196</v>
      </c>
      <c r="D7" s="20" t="s">
        <v>80</v>
      </c>
      <c r="E7" s="143">
        <v>46204</v>
      </c>
      <c r="F7" s="143">
        <v>46211</v>
      </c>
      <c r="G7" s="56"/>
      <c r="H7" s="141"/>
    </row>
    <row r="8" spans="1:8" x14ac:dyDescent="0.2">
      <c r="A8" s="128"/>
      <c r="B8" s="137" t="s">
        <v>305</v>
      </c>
      <c r="C8" s="20" t="s">
        <v>197</v>
      </c>
      <c r="D8" s="20" t="s">
        <v>80</v>
      </c>
      <c r="E8" s="143">
        <v>46204</v>
      </c>
      <c r="F8" s="143">
        <v>46211</v>
      </c>
      <c r="G8" s="56"/>
      <c r="H8" s="141"/>
    </row>
    <row r="9" spans="1:8" x14ac:dyDescent="0.2">
      <c r="A9" s="128"/>
      <c r="B9" s="137" t="s">
        <v>42</v>
      </c>
      <c r="C9" s="20" t="s">
        <v>198</v>
      </c>
      <c r="D9" s="20" t="s">
        <v>80</v>
      </c>
      <c r="E9" s="143">
        <v>46204</v>
      </c>
      <c r="F9" s="143">
        <v>46211</v>
      </c>
      <c r="G9" s="56"/>
      <c r="H9" s="141"/>
    </row>
    <row r="10" spans="1:8" x14ac:dyDescent="0.2">
      <c r="A10" s="128"/>
      <c r="B10" s="137" t="s">
        <v>48</v>
      </c>
      <c r="C10" s="20" t="s">
        <v>199</v>
      </c>
      <c r="D10" s="20" t="s">
        <v>80</v>
      </c>
      <c r="E10" s="143">
        <v>46204</v>
      </c>
      <c r="F10" s="143">
        <v>46211</v>
      </c>
      <c r="G10" s="56"/>
      <c r="H10" s="141"/>
    </row>
    <row r="11" spans="1:8" x14ac:dyDescent="0.2">
      <c r="A11" s="128"/>
      <c r="B11" s="174" t="s">
        <v>102</v>
      </c>
      <c r="C11" s="20" t="s">
        <v>200</v>
      </c>
      <c r="D11" s="20" t="s">
        <v>80</v>
      </c>
      <c r="E11" s="143" t="s">
        <v>201</v>
      </c>
      <c r="F11" s="143">
        <v>46211</v>
      </c>
      <c r="G11" s="56"/>
      <c r="H11" s="141"/>
    </row>
    <row r="12" spans="1:8" x14ac:dyDescent="0.2">
      <c r="A12" s="128"/>
      <c r="B12" s="136" t="s">
        <v>54</v>
      </c>
      <c r="C12" s="20" t="s">
        <v>202</v>
      </c>
      <c r="D12" s="20" t="s">
        <v>80</v>
      </c>
      <c r="E12" s="143">
        <v>46204</v>
      </c>
      <c r="F12" s="143">
        <v>46211</v>
      </c>
      <c r="G12" s="56"/>
      <c r="H12" s="141"/>
    </row>
    <row r="13" spans="1:8" x14ac:dyDescent="0.2">
      <c r="A13" s="128"/>
      <c r="B13" s="137" t="s">
        <v>57</v>
      </c>
      <c r="C13" s="20" t="s">
        <v>203</v>
      </c>
      <c r="D13" s="20" t="s">
        <v>204</v>
      </c>
      <c r="E13" s="143" t="s">
        <v>204</v>
      </c>
      <c r="F13" s="143" t="s">
        <v>204</v>
      </c>
      <c r="G13" s="56"/>
      <c r="H13" s="141"/>
    </row>
    <row r="14" spans="1:8" x14ac:dyDescent="0.2">
      <c r="A14" s="128"/>
      <c r="B14" s="174" t="s">
        <v>105</v>
      </c>
      <c r="C14" s="20" t="s">
        <v>205</v>
      </c>
      <c r="D14" s="20" t="s">
        <v>80</v>
      </c>
      <c r="E14" s="143">
        <v>46204</v>
      </c>
      <c r="F14" s="143">
        <v>46211</v>
      </c>
      <c r="G14" s="56"/>
      <c r="H14" s="141"/>
    </row>
    <row r="15" spans="1:8" x14ac:dyDescent="0.2">
      <c r="A15" s="128"/>
      <c r="B15" s="137" t="s">
        <v>67</v>
      </c>
      <c r="C15" s="20" t="s">
        <v>206</v>
      </c>
      <c r="D15" s="20" t="s">
        <v>80</v>
      </c>
      <c r="E15" s="143">
        <v>46204</v>
      </c>
      <c r="F15" s="143">
        <v>46211</v>
      </c>
      <c r="G15" s="56"/>
      <c r="H15" s="141"/>
    </row>
    <row r="16" spans="1:8" x14ac:dyDescent="0.2">
      <c r="A16" s="128"/>
      <c r="B16" s="137" t="s">
        <v>208</v>
      </c>
      <c r="C16" s="20" t="s">
        <v>209</v>
      </c>
      <c r="D16" s="20" t="s">
        <v>80</v>
      </c>
      <c r="E16" s="143">
        <v>46204</v>
      </c>
      <c r="F16" s="143">
        <v>46211</v>
      </c>
      <c r="G16" s="56"/>
      <c r="H16" s="141"/>
    </row>
    <row r="17" spans="1:8" x14ac:dyDescent="0.2">
      <c r="A17" s="128"/>
      <c r="B17" s="135" t="s">
        <v>87</v>
      </c>
      <c r="C17" s="20" t="s">
        <v>210</v>
      </c>
      <c r="D17" s="20" t="s">
        <v>80</v>
      </c>
      <c r="E17" s="143">
        <v>46204</v>
      </c>
      <c r="F17" s="143">
        <v>46211</v>
      </c>
      <c r="G17" s="56"/>
      <c r="H17" s="141"/>
    </row>
    <row r="18" spans="1:8" x14ac:dyDescent="0.2">
      <c r="A18" s="128"/>
      <c r="B18" s="135" t="s">
        <v>88</v>
      </c>
      <c r="C18" s="20" t="s">
        <v>211</v>
      </c>
      <c r="D18" s="20" t="s">
        <v>80</v>
      </c>
      <c r="E18" s="143">
        <v>46204</v>
      </c>
      <c r="F18" s="143">
        <v>46211</v>
      </c>
      <c r="G18" s="56"/>
      <c r="H18" s="141"/>
    </row>
    <row r="19" spans="1:8" ht="17" x14ac:dyDescent="0.2">
      <c r="A19" s="128"/>
      <c r="B19" s="138" t="s">
        <v>89</v>
      </c>
      <c r="C19" s="20" t="s">
        <v>213</v>
      </c>
      <c r="D19" s="20" t="s">
        <v>80</v>
      </c>
      <c r="E19" s="143">
        <v>46204</v>
      </c>
      <c r="F19" s="143">
        <v>46211</v>
      </c>
      <c r="G19" s="56"/>
      <c r="H19" s="171" t="s">
        <v>212</v>
      </c>
    </row>
    <row r="20" spans="1:8" ht="17" x14ac:dyDescent="0.2">
      <c r="A20" s="128"/>
      <c r="B20" s="138" t="s">
        <v>90</v>
      </c>
      <c r="C20" s="20" t="s">
        <v>214</v>
      </c>
      <c r="D20" s="20" t="s">
        <v>80</v>
      </c>
      <c r="E20" s="143">
        <v>46204</v>
      </c>
      <c r="F20" s="143">
        <v>46211</v>
      </c>
      <c r="G20" s="56"/>
      <c r="H20" s="141"/>
    </row>
    <row r="21" spans="1:8" x14ac:dyDescent="0.2">
      <c r="A21" s="128"/>
      <c r="B21" s="139" t="s">
        <v>91</v>
      </c>
      <c r="C21" s="20" t="s">
        <v>215</v>
      </c>
      <c r="D21" s="20" t="s">
        <v>80</v>
      </c>
      <c r="E21" s="143">
        <v>46204</v>
      </c>
      <c r="F21" s="143">
        <v>46211</v>
      </c>
      <c r="G21" s="56"/>
      <c r="H21" s="141"/>
    </row>
    <row r="22" spans="1:8" ht="17" x14ac:dyDescent="0.2">
      <c r="A22" s="128" t="s">
        <v>175</v>
      </c>
      <c r="B22" s="132" t="s">
        <v>176</v>
      </c>
      <c r="C22" s="172" t="s">
        <v>304</v>
      </c>
      <c r="D22" s="172" t="s">
        <v>181</v>
      </c>
      <c r="E22" s="173">
        <v>46023</v>
      </c>
      <c r="F22" s="173">
        <v>46028</v>
      </c>
      <c r="G22" s="109" t="s">
        <v>383</v>
      </c>
      <c r="H22" s="141"/>
    </row>
    <row r="23" spans="1:8" ht="17" x14ac:dyDescent="0.2">
      <c r="A23" s="128" t="s">
        <v>175</v>
      </c>
      <c r="B23" s="132" t="s">
        <v>176</v>
      </c>
      <c r="C23" s="20" t="s">
        <v>304</v>
      </c>
      <c r="D23" s="20" t="s">
        <v>182</v>
      </c>
      <c r="E23" s="143">
        <v>46266</v>
      </c>
      <c r="F23" s="143">
        <v>46271</v>
      </c>
      <c r="G23" s="56"/>
      <c r="H23" s="141"/>
    </row>
    <row r="24" spans="1:8" ht="17" x14ac:dyDescent="0.2">
      <c r="A24" s="128" t="s">
        <v>175</v>
      </c>
      <c r="B24" s="132" t="s">
        <v>176</v>
      </c>
      <c r="C24" s="20" t="s">
        <v>304</v>
      </c>
      <c r="D24" s="20" t="s">
        <v>183</v>
      </c>
      <c r="E24" s="143">
        <v>46569</v>
      </c>
      <c r="F24" s="143">
        <v>46574</v>
      </c>
      <c r="G24" s="56"/>
      <c r="H24" s="141"/>
    </row>
    <row r="25" spans="1:8" x14ac:dyDescent="0.2">
      <c r="A25" s="128"/>
      <c r="B25" s="139" t="s">
        <v>92</v>
      </c>
      <c r="C25" s="20" t="s">
        <v>216</v>
      </c>
      <c r="D25" s="20" t="s">
        <v>80</v>
      </c>
      <c r="E25" s="143">
        <v>46204</v>
      </c>
      <c r="F25" s="143">
        <v>46211</v>
      </c>
      <c r="G25" s="56"/>
      <c r="H25" s="141"/>
    </row>
    <row r="26" spans="1:8" x14ac:dyDescent="0.2">
      <c r="A26" s="128"/>
      <c r="B26" s="140" t="s">
        <v>131</v>
      </c>
      <c r="C26" s="20" t="s">
        <v>217</v>
      </c>
      <c r="D26" s="20" t="s">
        <v>80</v>
      </c>
      <c r="E26" s="143">
        <v>46204</v>
      </c>
      <c r="F26" s="143">
        <v>46211</v>
      </c>
      <c r="G26" s="56"/>
      <c r="H26" s="141"/>
    </row>
    <row r="27" spans="1:8" x14ac:dyDescent="0.2">
      <c r="A27" s="128"/>
      <c r="B27" s="140" t="s">
        <v>168</v>
      </c>
      <c r="C27" s="20" t="s">
        <v>169</v>
      </c>
      <c r="D27" s="20" t="s">
        <v>80</v>
      </c>
      <c r="E27" s="143">
        <v>46204</v>
      </c>
      <c r="F27" s="143">
        <v>46211</v>
      </c>
      <c r="G27" s="56"/>
      <c r="H27" s="141"/>
    </row>
    <row r="28" spans="1:8" x14ac:dyDescent="0.2">
      <c r="A28" s="128"/>
      <c r="B28" s="140" t="s">
        <v>134</v>
      </c>
      <c r="C28" s="20" t="s">
        <v>218</v>
      </c>
      <c r="D28" s="20" t="s">
        <v>80</v>
      </c>
      <c r="E28" s="143">
        <v>46204</v>
      </c>
      <c r="F28" s="143">
        <v>46211</v>
      </c>
      <c r="G28" s="56"/>
    </row>
    <row r="29" spans="1:8" x14ac:dyDescent="0.2">
      <c r="A29" s="128"/>
      <c r="B29" s="140" t="s">
        <v>186</v>
      </c>
      <c r="C29" s="20" t="s">
        <v>219</v>
      </c>
      <c r="D29" s="20" t="s">
        <v>80</v>
      </c>
      <c r="E29" s="143">
        <v>46204</v>
      </c>
      <c r="F29" s="143">
        <v>46211</v>
      </c>
      <c r="G29" s="56"/>
    </row>
    <row r="30" spans="1:8" x14ac:dyDescent="0.2">
      <c r="A30" s="128"/>
      <c r="B30" s="140" t="s">
        <v>294</v>
      </c>
      <c r="C30" s="20" t="s">
        <v>297</v>
      </c>
      <c r="D30" s="20" t="s">
        <v>80</v>
      </c>
      <c r="E30" s="143">
        <v>46204</v>
      </c>
      <c r="F30" s="143">
        <v>46211</v>
      </c>
      <c r="G30" s="56"/>
    </row>
    <row r="31" spans="1:8" x14ac:dyDescent="0.2">
      <c r="A31" s="128"/>
      <c r="B31" s="140" t="s">
        <v>220</v>
      </c>
      <c r="C31" s="20" t="s">
        <v>223</v>
      </c>
      <c r="D31" s="20" t="s">
        <v>80</v>
      </c>
      <c r="E31" s="143">
        <v>46204</v>
      </c>
      <c r="F31" s="143">
        <v>46211</v>
      </c>
      <c r="G31" s="56"/>
    </row>
    <row r="32" spans="1:8" x14ac:dyDescent="0.2">
      <c r="A32" s="128"/>
      <c r="B32" s="140" t="s">
        <v>295</v>
      </c>
      <c r="C32" s="20" t="s">
        <v>308</v>
      </c>
      <c r="D32" s="20" t="s">
        <v>80</v>
      </c>
      <c r="E32" s="143">
        <v>46204</v>
      </c>
      <c r="F32" s="143">
        <v>46211</v>
      </c>
      <c r="G32" s="56"/>
    </row>
    <row r="35" spans="1:3" x14ac:dyDescent="0.2">
      <c r="A35" s="163"/>
      <c r="B35" s="161" t="s">
        <v>286</v>
      </c>
      <c r="C35"/>
    </row>
    <row r="36" spans="1:3" x14ac:dyDescent="0.2">
      <c r="B36"/>
      <c r="C36"/>
    </row>
    <row r="37" spans="1:3" x14ac:dyDescent="0.2">
      <c r="A37" s="164"/>
      <c r="B37" s="162" t="s">
        <v>287</v>
      </c>
      <c r="C37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02C0CE-EB6B-7148-8762-04D1E1731B11}">
  <sheetPr>
    <tabColor theme="7"/>
  </sheetPr>
  <dimension ref="A1:E4"/>
  <sheetViews>
    <sheetView showGridLines="0" workbookViewId="0">
      <selection activeCell="D55" sqref="D55"/>
    </sheetView>
  </sheetViews>
  <sheetFormatPr baseColWidth="10" defaultRowHeight="16" x14ac:dyDescent="0.2"/>
  <cols>
    <col min="1" max="1" width="37.83203125" customWidth="1"/>
    <col min="2" max="2" width="21.6640625" customWidth="1"/>
    <col min="3" max="3" width="38.6640625" bestFit="1" customWidth="1"/>
    <col min="4" max="4" width="39.33203125" customWidth="1"/>
    <col min="5" max="5" width="23.1640625" customWidth="1"/>
  </cols>
  <sheetData>
    <row r="1" spans="1:5" ht="17" thickBot="1" x14ac:dyDescent="0.25">
      <c r="A1" s="113" t="s">
        <v>151</v>
      </c>
      <c r="B1" s="113" t="s">
        <v>0</v>
      </c>
      <c r="C1" s="113" t="s">
        <v>8</v>
      </c>
      <c r="D1" s="115" t="s">
        <v>177</v>
      </c>
      <c r="E1" s="115" t="s">
        <v>178</v>
      </c>
    </row>
    <row r="2" spans="1:5" ht="18" customHeight="1" thickTop="1" x14ac:dyDescent="0.2">
      <c r="A2" s="128" t="s">
        <v>175</v>
      </c>
      <c r="B2" s="129" t="s">
        <v>176</v>
      </c>
      <c r="C2" s="130" t="s">
        <v>174</v>
      </c>
      <c r="D2" s="130" t="s">
        <v>184</v>
      </c>
      <c r="E2" s="127"/>
    </row>
    <row r="3" spans="1:5" ht="17" x14ac:dyDescent="0.2">
      <c r="A3" s="128" t="s">
        <v>175</v>
      </c>
      <c r="B3" s="129" t="s">
        <v>176</v>
      </c>
      <c r="C3" s="130" t="s">
        <v>174</v>
      </c>
      <c r="D3" s="130" t="s">
        <v>185</v>
      </c>
      <c r="E3" s="127"/>
    </row>
    <row r="4" spans="1:5" ht="17" x14ac:dyDescent="0.2">
      <c r="A4" s="193" t="s">
        <v>154</v>
      </c>
      <c r="B4" s="129" t="s">
        <v>42</v>
      </c>
      <c r="C4" s="130" t="s">
        <v>43</v>
      </c>
      <c r="D4" s="130" t="s">
        <v>328</v>
      </c>
      <c r="E4" s="127" t="s">
        <v>327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4EDAC9-9742-3F46-9283-C3B3D193E7F6}">
  <sheetPr filterMode="1">
    <tabColor rgb="FF00B050"/>
  </sheetPr>
  <dimension ref="A1:J56"/>
  <sheetViews>
    <sheetView showGridLines="0" workbookViewId="0">
      <selection activeCell="H5" sqref="H5"/>
    </sheetView>
  </sheetViews>
  <sheetFormatPr baseColWidth="10" defaultRowHeight="16" x14ac:dyDescent="0.2"/>
  <cols>
    <col min="1" max="1" width="7.83203125" bestFit="1" customWidth="1"/>
    <col min="2" max="2" width="35.33203125" bestFit="1" customWidth="1"/>
    <col min="3" max="3" width="20.5" bestFit="1" customWidth="1"/>
    <col min="4" max="4" width="11.33203125" customWidth="1"/>
    <col min="5" max="5" width="26.1640625" customWidth="1"/>
    <col min="10" max="10" width="75.1640625" customWidth="1"/>
  </cols>
  <sheetData>
    <row r="1" spans="1:10" ht="17" thickBot="1" x14ac:dyDescent="0.25">
      <c r="A1" s="149" t="s">
        <v>0</v>
      </c>
      <c r="B1" s="149" t="s">
        <v>8</v>
      </c>
      <c r="C1" s="149" t="s">
        <v>312</v>
      </c>
      <c r="D1" s="149" t="s">
        <v>242</v>
      </c>
      <c r="E1" s="179" t="s">
        <v>314</v>
      </c>
      <c r="F1" s="177" t="s">
        <v>73</v>
      </c>
      <c r="G1" s="149" t="s">
        <v>74</v>
      </c>
      <c r="H1" s="149" t="s">
        <v>75</v>
      </c>
      <c r="I1" s="149" t="s">
        <v>76</v>
      </c>
      <c r="J1" s="179" t="s">
        <v>313</v>
      </c>
    </row>
    <row r="2" spans="1:10" ht="17" hidden="1" thickTop="1" x14ac:dyDescent="0.2">
      <c r="A2" s="153">
        <v>420</v>
      </c>
      <c r="B2" s="154" t="s">
        <v>16</v>
      </c>
      <c r="C2" s="154" t="s">
        <v>226</v>
      </c>
      <c r="D2" s="176" t="s">
        <v>243</v>
      </c>
      <c r="E2" s="182">
        <v>91325455</v>
      </c>
      <c r="F2" s="178" t="s">
        <v>163</v>
      </c>
      <c r="G2" s="155"/>
      <c r="H2" s="155"/>
      <c r="I2" s="155"/>
      <c r="J2" s="180" t="s">
        <v>329</v>
      </c>
    </row>
    <row r="3" spans="1:10" ht="17" hidden="1" thickTop="1" x14ac:dyDescent="0.2">
      <c r="A3" s="153">
        <v>423</v>
      </c>
      <c r="B3" s="154" t="s">
        <v>18</v>
      </c>
      <c r="C3" s="154" t="s">
        <v>227</v>
      </c>
      <c r="D3" s="176" t="s">
        <v>243</v>
      </c>
      <c r="E3" s="182">
        <v>76107752</v>
      </c>
      <c r="F3" s="178" t="s">
        <v>163</v>
      </c>
      <c r="G3" s="155"/>
      <c r="H3" s="155"/>
      <c r="I3" s="155"/>
      <c r="J3" s="186" t="s">
        <v>334</v>
      </c>
    </row>
    <row r="4" spans="1:10" ht="17" thickTop="1" x14ac:dyDescent="0.2">
      <c r="A4" s="153">
        <v>431</v>
      </c>
      <c r="B4" s="154" t="s">
        <v>26</v>
      </c>
      <c r="C4" s="154" t="s">
        <v>228</v>
      </c>
      <c r="D4" s="176" t="s">
        <v>243</v>
      </c>
      <c r="E4" s="188" t="s">
        <v>320</v>
      </c>
      <c r="F4" s="187" t="s">
        <v>319</v>
      </c>
      <c r="G4" s="155"/>
      <c r="H4" s="155"/>
      <c r="I4" s="155"/>
      <c r="J4" s="186" t="s">
        <v>321</v>
      </c>
    </row>
    <row r="5" spans="1:10" hidden="1" x14ac:dyDescent="0.2">
      <c r="A5" s="153">
        <v>435</v>
      </c>
      <c r="B5" s="154" t="s">
        <v>120</v>
      </c>
      <c r="C5" s="154" t="s">
        <v>226</v>
      </c>
      <c r="D5" s="176" t="s">
        <v>243</v>
      </c>
      <c r="E5" s="182" t="s">
        <v>318</v>
      </c>
      <c r="F5" s="178" t="s">
        <v>163</v>
      </c>
      <c r="G5" s="155"/>
      <c r="H5" s="155"/>
      <c r="I5" s="155"/>
      <c r="J5" s="180" t="s">
        <v>336</v>
      </c>
    </row>
    <row r="6" spans="1:10" hidden="1" x14ac:dyDescent="0.2">
      <c r="A6" s="153">
        <v>436</v>
      </c>
      <c r="B6" s="154" t="s">
        <v>30</v>
      </c>
      <c r="C6" s="154" t="s">
        <v>226</v>
      </c>
      <c r="D6" s="176" t="s">
        <v>243</v>
      </c>
      <c r="E6" s="182">
        <v>59770767</v>
      </c>
      <c r="F6" s="178" t="s">
        <v>163</v>
      </c>
      <c r="G6" s="155"/>
      <c r="H6" s="155"/>
      <c r="I6" s="155"/>
      <c r="J6" s="180" t="s">
        <v>322</v>
      </c>
    </row>
    <row r="7" spans="1:10" hidden="1" x14ac:dyDescent="0.2">
      <c r="A7" s="153">
        <v>440</v>
      </c>
      <c r="B7" s="154" t="s">
        <v>36</v>
      </c>
      <c r="C7" s="154" t="s">
        <v>226</v>
      </c>
      <c r="D7" s="176" t="s">
        <v>243</v>
      </c>
      <c r="E7" s="182">
        <v>72769149</v>
      </c>
      <c r="F7" s="178" t="s">
        <v>163</v>
      </c>
      <c r="G7" s="155"/>
      <c r="H7" s="155"/>
      <c r="I7" s="155"/>
      <c r="J7" s="180"/>
    </row>
    <row r="8" spans="1:10" x14ac:dyDescent="0.2">
      <c r="A8" s="153">
        <v>444</v>
      </c>
      <c r="B8" s="154" t="s">
        <v>121</v>
      </c>
      <c r="C8" s="154" t="s">
        <v>196</v>
      </c>
      <c r="D8" s="176" t="s">
        <v>243</v>
      </c>
      <c r="E8" s="182">
        <v>94133034</v>
      </c>
      <c r="F8" s="187" t="s">
        <v>319</v>
      </c>
      <c r="G8" s="155"/>
      <c r="H8" s="155"/>
      <c r="I8" s="155"/>
      <c r="J8" s="186" t="s">
        <v>323</v>
      </c>
    </row>
    <row r="9" spans="1:10" hidden="1" x14ac:dyDescent="0.2">
      <c r="A9" s="153">
        <v>449</v>
      </c>
      <c r="B9" s="154" t="s">
        <v>43</v>
      </c>
      <c r="C9" s="154" t="s">
        <v>229</v>
      </c>
      <c r="D9" s="176" t="s">
        <v>243</v>
      </c>
      <c r="E9" s="182">
        <v>74664158</v>
      </c>
      <c r="F9" s="178" t="s">
        <v>163</v>
      </c>
      <c r="G9" s="155"/>
      <c r="H9" s="155"/>
      <c r="I9" s="155"/>
      <c r="J9" s="180"/>
    </row>
    <row r="10" spans="1:10" hidden="1" x14ac:dyDescent="0.2">
      <c r="A10" s="153">
        <v>450</v>
      </c>
      <c r="B10" s="154" t="s">
        <v>122</v>
      </c>
      <c r="C10" s="154" t="s">
        <v>230</v>
      </c>
      <c r="D10" s="176" t="s">
        <v>243</v>
      </c>
      <c r="E10" s="191"/>
      <c r="F10" s="178"/>
      <c r="G10" s="155"/>
      <c r="H10" s="155"/>
      <c r="I10" s="155"/>
      <c r="J10" s="180"/>
    </row>
    <row r="11" spans="1:10" hidden="1" x14ac:dyDescent="0.2">
      <c r="A11" s="153" t="s">
        <v>244</v>
      </c>
      <c r="B11" s="154" t="s">
        <v>123</v>
      </c>
      <c r="C11" s="154" t="s">
        <v>231</v>
      </c>
      <c r="D11" s="176" t="s">
        <v>243</v>
      </c>
      <c r="E11" s="191"/>
      <c r="F11" s="178"/>
      <c r="G11" s="155"/>
      <c r="H11" s="155"/>
      <c r="I11" s="155"/>
      <c r="J11" s="180"/>
    </row>
    <row r="12" spans="1:10" hidden="1" x14ac:dyDescent="0.2">
      <c r="A12" s="153">
        <v>455</v>
      </c>
      <c r="B12" s="154" t="s">
        <v>249</v>
      </c>
      <c r="C12" s="154" t="s">
        <v>199</v>
      </c>
      <c r="D12" s="176" t="s">
        <v>243</v>
      </c>
      <c r="E12" s="182">
        <v>61247391</v>
      </c>
      <c r="F12" s="178" t="s">
        <v>163</v>
      </c>
      <c r="G12" s="155"/>
      <c r="H12" s="155"/>
      <c r="I12" s="155"/>
      <c r="J12" s="180" t="s">
        <v>330</v>
      </c>
    </row>
    <row r="13" spans="1:10" hidden="1" x14ac:dyDescent="0.2">
      <c r="A13" s="153">
        <v>456</v>
      </c>
      <c r="B13" s="154" t="s">
        <v>51</v>
      </c>
      <c r="C13" s="154" t="s">
        <v>226</v>
      </c>
      <c r="D13" s="176" t="s">
        <v>243</v>
      </c>
      <c r="E13" s="182">
        <v>95353364</v>
      </c>
      <c r="F13" s="178" t="s">
        <v>163</v>
      </c>
      <c r="G13" s="155"/>
      <c r="H13" s="155"/>
      <c r="I13" s="155"/>
      <c r="J13" s="180"/>
    </row>
    <row r="14" spans="1:10" hidden="1" x14ac:dyDescent="0.2">
      <c r="A14" s="153">
        <v>460</v>
      </c>
      <c r="B14" s="154" t="s">
        <v>55</v>
      </c>
      <c r="C14" s="154" t="s">
        <v>232</v>
      </c>
      <c r="D14" s="176" t="s">
        <v>243</v>
      </c>
      <c r="E14" s="191"/>
      <c r="F14" s="178"/>
      <c r="G14" s="155"/>
      <c r="H14" s="155"/>
      <c r="I14" s="155"/>
      <c r="J14" s="180"/>
    </row>
    <row r="15" spans="1:10" hidden="1" x14ac:dyDescent="0.2">
      <c r="A15" s="153">
        <v>464</v>
      </c>
      <c r="B15" s="154" t="s">
        <v>247</v>
      </c>
      <c r="C15" s="154" t="s">
        <v>233</v>
      </c>
      <c r="D15" s="176" t="s">
        <v>243</v>
      </c>
      <c r="E15" s="182">
        <v>82161062</v>
      </c>
      <c r="F15" s="178" t="s">
        <v>163</v>
      </c>
      <c r="G15" s="155"/>
      <c r="H15" s="155"/>
      <c r="I15" s="155"/>
      <c r="J15" s="180"/>
    </row>
    <row r="16" spans="1:10" hidden="1" x14ac:dyDescent="0.2">
      <c r="A16" s="153" t="s">
        <v>245</v>
      </c>
      <c r="B16" s="154" t="s">
        <v>123</v>
      </c>
      <c r="C16" s="154" t="s">
        <v>231</v>
      </c>
      <c r="D16" s="176" t="s">
        <v>243</v>
      </c>
      <c r="E16" s="191"/>
      <c r="F16" s="178"/>
      <c r="G16" s="155"/>
      <c r="H16" s="155"/>
      <c r="I16" s="155"/>
      <c r="J16" s="180"/>
    </row>
    <row r="17" spans="1:10" hidden="1" x14ac:dyDescent="0.2">
      <c r="A17" s="153">
        <v>472</v>
      </c>
      <c r="B17" s="154" t="s">
        <v>248</v>
      </c>
      <c r="C17" s="154" t="s">
        <v>226</v>
      </c>
      <c r="D17" s="176" t="s">
        <v>243</v>
      </c>
      <c r="E17" s="182">
        <v>59477326</v>
      </c>
      <c r="F17" s="178" t="s">
        <v>163</v>
      </c>
      <c r="G17" s="155"/>
      <c r="H17" s="155"/>
      <c r="I17" s="155"/>
      <c r="J17" s="180" t="s">
        <v>331</v>
      </c>
    </row>
    <row r="18" spans="1:10" x14ac:dyDescent="0.2">
      <c r="A18" s="153">
        <v>475</v>
      </c>
      <c r="B18" s="154" t="s">
        <v>68</v>
      </c>
      <c r="C18" s="154" t="s">
        <v>206</v>
      </c>
      <c r="D18" s="176" t="s">
        <v>243</v>
      </c>
      <c r="E18" s="182">
        <v>62327100</v>
      </c>
      <c r="F18" s="187" t="s">
        <v>319</v>
      </c>
      <c r="G18" s="155"/>
      <c r="H18" s="155"/>
      <c r="I18" s="155"/>
      <c r="J18" s="186" t="s">
        <v>335</v>
      </c>
    </row>
    <row r="19" spans="1:10" hidden="1" x14ac:dyDescent="0.2">
      <c r="A19" s="153">
        <v>479</v>
      </c>
      <c r="B19" s="154" t="s">
        <v>246</v>
      </c>
      <c r="C19" s="154" t="s">
        <v>142</v>
      </c>
      <c r="D19" s="176" t="s">
        <v>243</v>
      </c>
      <c r="E19" s="182">
        <v>77022963</v>
      </c>
      <c r="F19" s="178" t="s">
        <v>163</v>
      </c>
      <c r="G19" s="155"/>
      <c r="H19" s="155"/>
      <c r="I19" s="155"/>
      <c r="J19" s="180"/>
    </row>
    <row r="20" spans="1:10" hidden="1" x14ac:dyDescent="0.2">
      <c r="A20" s="153">
        <v>482</v>
      </c>
      <c r="B20" s="154" t="s">
        <v>209</v>
      </c>
      <c r="C20" s="154" t="s">
        <v>234</v>
      </c>
      <c r="D20" s="176" t="s">
        <v>243</v>
      </c>
      <c r="E20" s="182">
        <v>80230016</v>
      </c>
      <c r="F20" s="178" t="s">
        <v>163</v>
      </c>
      <c r="G20" s="155"/>
      <c r="H20" s="155"/>
      <c r="I20" s="155"/>
      <c r="J20" s="180"/>
    </row>
    <row r="21" spans="1:10" hidden="1" x14ac:dyDescent="0.2">
      <c r="A21" s="153">
        <v>484</v>
      </c>
      <c r="B21" s="154" t="s">
        <v>263</v>
      </c>
      <c r="C21" s="154" t="s">
        <v>199</v>
      </c>
      <c r="D21" s="176" t="s">
        <v>250</v>
      </c>
      <c r="E21" s="182">
        <v>75206846</v>
      </c>
      <c r="F21" s="178" t="s">
        <v>163</v>
      </c>
      <c r="G21" s="155"/>
      <c r="H21" s="155"/>
      <c r="I21" s="155"/>
      <c r="J21" s="180"/>
    </row>
    <row r="22" spans="1:10" hidden="1" x14ac:dyDescent="0.2">
      <c r="A22" s="153">
        <v>486</v>
      </c>
      <c r="B22" s="154" t="s">
        <v>93</v>
      </c>
      <c r="C22" s="154" t="s">
        <v>226</v>
      </c>
      <c r="D22" s="176" t="s">
        <v>243</v>
      </c>
      <c r="E22" s="195"/>
      <c r="F22" s="178"/>
      <c r="G22" s="155"/>
      <c r="H22" s="155"/>
      <c r="I22" s="155"/>
      <c r="J22" s="180"/>
    </row>
    <row r="23" spans="1:10" hidden="1" x14ac:dyDescent="0.2">
      <c r="A23" s="153">
        <v>487</v>
      </c>
      <c r="B23" s="154" t="s">
        <v>94</v>
      </c>
      <c r="C23" s="154" t="s">
        <v>235</v>
      </c>
      <c r="D23" s="176" t="s">
        <v>243</v>
      </c>
      <c r="E23" s="182">
        <v>82627541</v>
      </c>
      <c r="F23" s="178" t="s">
        <v>163</v>
      </c>
      <c r="G23" s="155"/>
      <c r="H23" s="155"/>
      <c r="I23" s="155"/>
      <c r="J23" s="180"/>
    </row>
    <row r="24" spans="1:10" hidden="1" x14ac:dyDescent="0.2">
      <c r="A24" s="153" t="s">
        <v>236</v>
      </c>
      <c r="B24" s="154" t="s">
        <v>96</v>
      </c>
      <c r="C24" s="154" t="s">
        <v>237</v>
      </c>
      <c r="D24" s="176" t="s">
        <v>243</v>
      </c>
      <c r="E24" s="182">
        <v>72113553</v>
      </c>
      <c r="F24" s="178" t="s">
        <v>163</v>
      </c>
      <c r="G24" s="155"/>
      <c r="H24" s="155"/>
      <c r="I24" s="155"/>
      <c r="J24" s="180"/>
    </row>
    <row r="25" spans="1:10" hidden="1" x14ac:dyDescent="0.2">
      <c r="A25" s="153">
        <v>488</v>
      </c>
      <c r="B25" s="154" t="s">
        <v>96</v>
      </c>
      <c r="C25" s="154" t="s">
        <v>237</v>
      </c>
      <c r="D25" s="176" t="s">
        <v>243</v>
      </c>
      <c r="E25" s="182">
        <v>72113553</v>
      </c>
      <c r="F25" s="178" t="s">
        <v>163</v>
      </c>
      <c r="G25" s="155"/>
      <c r="H25" s="155"/>
      <c r="I25" s="155"/>
      <c r="J25" s="180"/>
    </row>
    <row r="26" spans="1:10" hidden="1" x14ac:dyDescent="0.2">
      <c r="A26" s="153">
        <v>490</v>
      </c>
      <c r="B26" s="154" t="s">
        <v>98</v>
      </c>
      <c r="C26" s="154" t="s">
        <v>238</v>
      </c>
      <c r="D26" s="176" t="s">
        <v>243</v>
      </c>
      <c r="E26" s="182">
        <v>82451559</v>
      </c>
      <c r="F26" s="178" t="s">
        <v>163</v>
      </c>
      <c r="G26" s="155"/>
      <c r="H26" s="155"/>
      <c r="I26" s="155"/>
      <c r="J26" s="180"/>
    </row>
    <row r="27" spans="1:10" hidden="1" x14ac:dyDescent="0.2">
      <c r="A27" s="153">
        <v>491</v>
      </c>
      <c r="B27" s="154" t="s">
        <v>97</v>
      </c>
      <c r="C27" s="154" t="s">
        <v>239</v>
      </c>
      <c r="D27" s="176" t="s">
        <v>243</v>
      </c>
      <c r="E27" s="182">
        <v>95644660</v>
      </c>
      <c r="F27" s="178" t="s">
        <v>163</v>
      </c>
      <c r="G27" s="155"/>
      <c r="H27" s="155"/>
      <c r="I27" s="155"/>
      <c r="J27" s="180"/>
    </row>
    <row r="28" spans="1:10" hidden="1" x14ac:dyDescent="0.2">
      <c r="A28" s="153">
        <v>492</v>
      </c>
      <c r="B28" s="154" t="s">
        <v>99</v>
      </c>
      <c r="C28" s="154" t="s">
        <v>240</v>
      </c>
      <c r="D28" s="176" t="s">
        <v>243</v>
      </c>
      <c r="E28" s="182">
        <v>37157617</v>
      </c>
      <c r="F28" s="178" t="s">
        <v>163</v>
      </c>
      <c r="G28" s="155"/>
      <c r="H28" s="155"/>
      <c r="I28" s="155"/>
      <c r="J28" s="180"/>
    </row>
    <row r="29" spans="1:10" hidden="1" x14ac:dyDescent="0.2">
      <c r="A29" s="153">
        <v>493</v>
      </c>
      <c r="B29" s="154" t="s">
        <v>174</v>
      </c>
      <c r="C29" s="154" t="s">
        <v>255</v>
      </c>
      <c r="D29" s="176" t="s">
        <v>250</v>
      </c>
      <c r="E29" s="182">
        <v>31027731</v>
      </c>
      <c r="F29" s="178" t="s">
        <v>163</v>
      </c>
      <c r="G29" s="155"/>
      <c r="H29" s="155"/>
      <c r="I29" s="155"/>
      <c r="J29" s="180"/>
    </row>
    <row r="30" spans="1:10" hidden="1" x14ac:dyDescent="0.2">
      <c r="A30" s="153">
        <v>495</v>
      </c>
      <c r="B30" s="154" t="s">
        <v>100</v>
      </c>
      <c r="C30" s="154" t="s">
        <v>241</v>
      </c>
      <c r="D30" s="176" t="s">
        <v>243</v>
      </c>
      <c r="E30" s="182">
        <v>72083417</v>
      </c>
      <c r="F30" s="178" t="s">
        <v>163</v>
      </c>
      <c r="G30" s="155"/>
      <c r="H30" s="155"/>
      <c r="I30" s="155"/>
      <c r="J30" s="180"/>
    </row>
    <row r="31" spans="1:10" hidden="1" x14ac:dyDescent="0.2">
      <c r="A31" s="153">
        <v>496</v>
      </c>
      <c r="B31" s="154" t="s">
        <v>135</v>
      </c>
      <c r="C31" s="154" t="s">
        <v>231</v>
      </c>
      <c r="D31" s="176" t="s">
        <v>243</v>
      </c>
      <c r="E31" s="182">
        <v>68361238</v>
      </c>
      <c r="F31" s="178" t="s">
        <v>163</v>
      </c>
      <c r="G31" s="155"/>
      <c r="H31" s="155"/>
      <c r="I31" s="155"/>
      <c r="J31" s="180"/>
    </row>
    <row r="32" spans="1:10" hidden="1" x14ac:dyDescent="0.2">
      <c r="A32" s="153">
        <v>498</v>
      </c>
      <c r="B32" s="154" t="s">
        <v>136</v>
      </c>
      <c r="C32" s="154" t="s">
        <v>240</v>
      </c>
      <c r="D32" s="176" t="s">
        <v>243</v>
      </c>
      <c r="E32" s="182">
        <v>72083417</v>
      </c>
      <c r="F32" s="178" t="s">
        <v>163</v>
      </c>
      <c r="G32" s="155"/>
      <c r="H32" s="155"/>
      <c r="I32" s="155"/>
      <c r="J32" s="180"/>
    </row>
    <row r="33" spans="1:10" hidden="1" x14ac:dyDescent="0.2">
      <c r="A33" s="153">
        <v>500</v>
      </c>
      <c r="B33" s="154" t="s">
        <v>137</v>
      </c>
      <c r="C33" s="154" t="s">
        <v>226</v>
      </c>
      <c r="D33" s="176" t="s">
        <v>243</v>
      </c>
      <c r="E33" s="182">
        <v>34095060</v>
      </c>
      <c r="F33" s="178" t="s">
        <v>163</v>
      </c>
      <c r="G33" s="155"/>
      <c r="H33" s="155"/>
      <c r="I33" s="155"/>
      <c r="J33" s="180"/>
    </row>
    <row r="34" spans="1:10" hidden="1" x14ac:dyDescent="0.2">
      <c r="A34" s="153">
        <v>501</v>
      </c>
      <c r="B34" s="154" t="s">
        <v>138</v>
      </c>
      <c r="C34" s="154" t="s">
        <v>226</v>
      </c>
      <c r="D34" s="176" t="s">
        <v>243</v>
      </c>
      <c r="E34" s="182" t="s">
        <v>332</v>
      </c>
      <c r="F34" s="178" t="s">
        <v>163</v>
      </c>
      <c r="G34" s="155"/>
      <c r="H34" s="155"/>
      <c r="I34" s="155"/>
      <c r="J34" s="180"/>
    </row>
    <row r="35" spans="1:10" hidden="1" x14ac:dyDescent="0.2">
      <c r="A35" s="153">
        <v>504</v>
      </c>
      <c r="B35" s="154" t="s">
        <v>251</v>
      </c>
      <c r="C35" s="154" t="s">
        <v>258</v>
      </c>
      <c r="D35" s="176" t="s">
        <v>250</v>
      </c>
      <c r="E35" s="182">
        <v>34255844</v>
      </c>
      <c r="F35" s="178" t="s">
        <v>163</v>
      </c>
      <c r="G35" s="155"/>
      <c r="H35" s="155"/>
      <c r="I35" s="155"/>
      <c r="J35" s="180"/>
    </row>
    <row r="36" spans="1:10" hidden="1" x14ac:dyDescent="0.2">
      <c r="A36" s="153">
        <v>505</v>
      </c>
      <c r="B36" s="154" t="s">
        <v>270</v>
      </c>
      <c r="C36" s="154" t="s">
        <v>218</v>
      </c>
      <c r="D36" s="176" t="s">
        <v>250</v>
      </c>
      <c r="E36" s="182">
        <v>65375041</v>
      </c>
      <c r="F36" s="178" t="s">
        <v>163</v>
      </c>
      <c r="G36" s="155"/>
      <c r="H36" s="155"/>
      <c r="I36" s="155"/>
      <c r="J36" s="180"/>
    </row>
    <row r="37" spans="1:10" hidden="1" x14ac:dyDescent="0.2">
      <c r="A37" s="153">
        <v>507</v>
      </c>
      <c r="B37" s="154" t="s">
        <v>252</v>
      </c>
      <c r="C37" s="154" t="s">
        <v>262</v>
      </c>
      <c r="D37" s="176" t="s">
        <v>250</v>
      </c>
      <c r="E37" s="182">
        <v>73325406</v>
      </c>
      <c r="F37" s="196"/>
      <c r="G37" s="155"/>
      <c r="H37" s="155"/>
      <c r="I37" s="155"/>
      <c r="J37" s="180"/>
    </row>
    <row r="38" spans="1:10" hidden="1" x14ac:dyDescent="0.2">
      <c r="A38" s="153">
        <v>509</v>
      </c>
      <c r="B38" s="154" t="s">
        <v>253</v>
      </c>
      <c r="C38" s="154" t="s">
        <v>261</v>
      </c>
      <c r="D38" s="176" t="s">
        <v>250</v>
      </c>
      <c r="E38" s="182">
        <v>92529380</v>
      </c>
      <c r="F38" s="178" t="s">
        <v>163</v>
      </c>
      <c r="G38" s="155"/>
      <c r="H38" s="155"/>
      <c r="I38" s="155"/>
      <c r="J38" s="180"/>
    </row>
    <row r="39" spans="1:10" hidden="1" x14ac:dyDescent="0.2">
      <c r="A39" s="153">
        <v>510</v>
      </c>
      <c r="B39" s="154" t="s">
        <v>254</v>
      </c>
      <c r="C39" s="154" t="s">
        <v>260</v>
      </c>
      <c r="D39" s="176" t="s">
        <v>250</v>
      </c>
      <c r="E39" s="182">
        <v>76415414</v>
      </c>
      <c r="F39" s="178" t="s">
        <v>163</v>
      </c>
      <c r="G39" s="155"/>
      <c r="H39" s="155"/>
      <c r="I39" s="155"/>
      <c r="J39" s="180"/>
    </row>
    <row r="40" spans="1:10" hidden="1" x14ac:dyDescent="0.2">
      <c r="A40" s="153">
        <v>511</v>
      </c>
      <c r="B40" s="154" t="s">
        <v>256</v>
      </c>
      <c r="C40" s="154" t="s">
        <v>271</v>
      </c>
      <c r="D40" s="176" t="s">
        <v>250</v>
      </c>
      <c r="E40" s="182">
        <v>81307071</v>
      </c>
      <c r="F40" s="178" t="s">
        <v>163</v>
      </c>
      <c r="G40" s="155"/>
      <c r="H40" s="155"/>
      <c r="I40" s="155"/>
      <c r="J40" s="180"/>
    </row>
    <row r="41" spans="1:10" hidden="1" x14ac:dyDescent="0.2">
      <c r="A41" s="153">
        <v>513</v>
      </c>
      <c r="B41" s="154" t="s">
        <v>257</v>
      </c>
      <c r="C41" s="154" t="s">
        <v>258</v>
      </c>
      <c r="D41" s="176" t="s">
        <v>250</v>
      </c>
      <c r="E41" s="182">
        <v>99125471</v>
      </c>
      <c r="F41" s="178" t="s">
        <v>163</v>
      </c>
      <c r="G41" s="155"/>
      <c r="H41" s="155"/>
      <c r="I41" s="155"/>
      <c r="J41" s="180"/>
    </row>
    <row r="42" spans="1:10" hidden="1" x14ac:dyDescent="0.2">
      <c r="A42" s="153">
        <v>514</v>
      </c>
      <c r="B42" s="154" t="s">
        <v>223</v>
      </c>
      <c r="C42" s="154" t="s">
        <v>259</v>
      </c>
      <c r="D42" s="176" t="s">
        <v>250</v>
      </c>
      <c r="E42" s="182">
        <v>974479519</v>
      </c>
      <c r="F42" s="178" t="s">
        <v>163</v>
      </c>
      <c r="G42" s="155"/>
      <c r="H42" s="155"/>
      <c r="I42" s="155"/>
      <c r="J42" s="180"/>
    </row>
    <row r="43" spans="1:10" hidden="1" x14ac:dyDescent="0.2">
      <c r="A43" s="153">
        <v>515</v>
      </c>
      <c r="B43" s="154" t="s">
        <v>22</v>
      </c>
      <c r="C43" s="154" t="s">
        <v>199</v>
      </c>
      <c r="D43" s="176" t="s">
        <v>250</v>
      </c>
      <c r="E43" s="182">
        <v>92114539</v>
      </c>
      <c r="F43" s="178" t="s">
        <v>163</v>
      </c>
      <c r="G43" s="155"/>
      <c r="H43" s="155"/>
      <c r="I43" s="155"/>
      <c r="J43" s="180"/>
    </row>
    <row r="44" spans="1:10" hidden="1" x14ac:dyDescent="0.2">
      <c r="A44" s="153">
        <v>520</v>
      </c>
      <c r="B44" s="154" t="s">
        <v>267</v>
      </c>
      <c r="C44" s="154" t="s">
        <v>266</v>
      </c>
      <c r="D44" s="176" t="s">
        <v>250</v>
      </c>
      <c r="E44" s="182">
        <v>56463820</v>
      </c>
      <c r="F44" s="178" t="s">
        <v>163</v>
      </c>
      <c r="G44" s="155"/>
      <c r="H44" s="155"/>
      <c r="I44" s="155"/>
      <c r="J44" s="180"/>
    </row>
    <row r="45" spans="1:10" hidden="1" x14ac:dyDescent="0.2">
      <c r="A45" s="153">
        <v>517</v>
      </c>
      <c r="B45" s="154" t="s">
        <v>127</v>
      </c>
      <c r="C45" s="154" t="s">
        <v>225</v>
      </c>
      <c r="D45" s="176" t="s">
        <v>243</v>
      </c>
      <c r="E45" s="182">
        <v>69436118</v>
      </c>
      <c r="F45" s="178" t="s">
        <v>163</v>
      </c>
      <c r="G45" s="155"/>
      <c r="H45" s="155"/>
      <c r="I45" s="155"/>
      <c r="J45" s="180"/>
    </row>
    <row r="46" spans="1:10" hidden="1" x14ac:dyDescent="0.2">
      <c r="A46" s="153">
        <v>518</v>
      </c>
      <c r="B46" s="154" t="s">
        <v>315</v>
      </c>
      <c r="C46" s="154" t="s">
        <v>316</v>
      </c>
      <c r="D46" s="176" t="s">
        <v>250</v>
      </c>
      <c r="E46" s="182">
        <v>33220582</v>
      </c>
      <c r="F46" s="178" t="s">
        <v>163</v>
      </c>
      <c r="G46" s="155"/>
      <c r="H46" s="155"/>
      <c r="I46" s="155"/>
      <c r="J46" s="180"/>
    </row>
    <row r="47" spans="1:10" hidden="1" x14ac:dyDescent="0.2">
      <c r="A47" s="153">
        <v>478</v>
      </c>
      <c r="B47" s="184" t="s">
        <v>109</v>
      </c>
      <c r="C47" s="154" t="s">
        <v>265</v>
      </c>
      <c r="D47" s="185" t="s">
        <v>264</v>
      </c>
      <c r="E47" s="182" t="s">
        <v>318</v>
      </c>
      <c r="F47" s="178" t="s">
        <v>163</v>
      </c>
      <c r="G47" s="155"/>
      <c r="H47" s="155"/>
      <c r="I47" s="155"/>
      <c r="J47" s="180"/>
    </row>
    <row r="48" spans="1:10" hidden="1" x14ac:dyDescent="0.2">
      <c r="A48" s="153">
        <v>458</v>
      </c>
      <c r="B48" s="184" t="s">
        <v>103</v>
      </c>
      <c r="C48" s="154" t="s">
        <v>226</v>
      </c>
      <c r="D48" s="185" t="s">
        <v>264</v>
      </c>
      <c r="E48" s="191"/>
      <c r="F48" s="196"/>
      <c r="G48" s="155"/>
      <c r="H48" s="155"/>
      <c r="I48" s="155"/>
      <c r="J48" s="180"/>
    </row>
    <row r="49" spans="1:10" hidden="1" x14ac:dyDescent="0.2">
      <c r="A49" s="153">
        <v>465</v>
      </c>
      <c r="B49" s="184" t="s">
        <v>106</v>
      </c>
      <c r="C49" s="154" t="s">
        <v>261</v>
      </c>
      <c r="D49" s="185" t="s">
        <v>264</v>
      </c>
      <c r="E49" s="182">
        <v>96233117</v>
      </c>
      <c r="F49" s="178" t="s">
        <v>163</v>
      </c>
      <c r="G49" s="155"/>
      <c r="H49" s="155"/>
      <c r="I49" s="155"/>
      <c r="J49" s="180"/>
    </row>
    <row r="51" spans="1:10" x14ac:dyDescent="0.2">
      <c r="B51" s="183" t="s">
        <v>317</v>
      </c>
    </row>
    <row r="53" spans="1:10" x14ac:dyDescent="0.2">
      <c r="B53" s="163"/>
      <c r="C53" s="161" t="s">
        <v>333</v>
      </c>
    </row>
    <row r="55" spans="1:10" x14ac:dyDescent="0.2">
      <c r="C55" s="162"/>
    </row>
    <row r="56" spans="1:10" ht="20" x14ac:dyDescent="0.2">
      <c r="E56" s="181"/>
    </row>
  </sheetData>
  <autoFilter ref="A1:J49" xr:uid="{CD4EDAC9-9742-3F46-9283-C3B3D193E7F6}">
    <filterColumn colId="5">
      <filters>
        <filter val="-"/>
      </filters>
    </filterColumn>
  </autoFilter>
  <pageMargins left="0.7" right="0.7" top="0.75" bottom="0.75" header="0.3" footer="0.3"/>
  <ignoredErrors>
    <ignoredError sqref="E4" numberStoredAsText="1"/>
  </ignoredError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38C1DA-E335-0143-A900-C090531D2642}">
  <dimension ref="A1"/>
  <sheetViews>
    <sheetView workbookViewId="0"/>
  </sheetViews>
  <sheetFormatPr baseColWidth="10" defaultRowHeight="16" x14ac:dyDescent="0.2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8783d4f6-7614-4ae5-9e1a-5e2b0a5ec009" xsi:nil="true"/>
    <lcf76f155ced4ddcb4097134ff3c332f xmlns="a91e38dd-2803-4a7e-9f77-b5b453adaa3a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6ADF2BDE47E0440B0329048DF9AA539" ma:contentTypeVersion="18" ma:contentTypeDescription="Een nieuw document maken." ma:contentTypeScope="" ma:versionID="ec48bef170e38eec8ae71618fcfb9dbb">
  <xsd:schema xmlns:xsd="http://www.w3.org/2001/XMLSchema" xmlns:xs="http://www.w3.org/2001/XMLSchema" xmlns:p="http://schemas.microsoft.com/office/2006/metadata/properties" xmlns:ns2="a91e38dd-2803-4a7e-9f77-b5b453adaa3a" xmlns:ns3="8783d4f6-7614-4ae5-9e1a-5e2b0a5ec009" targetNamespace="http://schemas.microsoft.com/office/2006/metadata/properties" ma:root="true" ma:fieldsID="6fba76f3a8ee56443cb5fa40ae3176aa" ns2:_="" ns3:_="">
    <xsd:import namespace="a91e38dd-2803-4a7e-9f77-b5b453adaa3a"/>
    <xsd:import namespace="8783d4f6-7614-4ae5-9e1a-5e2b0a5ec00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3:SharedWithUsers" minOccurs="0"/>
                <xsd:element ref="ns3:SharedWithDetails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91e38dd-2803-4a7e-9f77-b5b453adaa3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Afbeeldingtags" ma:readOnly="false" ma:fieldId="{5cf76f15-5ced-4ddc-b409-7134ff3c332f}" ma:taxonomyMulti="true" ma:sspId="d7557024-b14b-4d2d-a906-705aef3d5f6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783d4f6-7614-4ae5-9e1a-5e2b0a5ec009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Gedeeld met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Gedeeld met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4c1a289f-e8d1-4ce9-a72c-9b8f208b7426}" ma:internalName="TaxCatchAll" ma:showField="CatchAllData" ma:web="8783d4f6-7614-4ae5-9e1a-5e2b0a5ec00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oudstype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AE33F2D4-51E7-43E1-9270-75CB31D5FE00}">
  <ds:schemaRefs>
    <ds:schemaRef ds:uri="http://schemas.openxmlformats.org/package/2006/metadata/core-properties"/>
    <ds:schemaRef ds:uri="http://purl.org/dc/terms/"/>
    <ds:schemaRef ds:uri="http://www.w3.org/XML/1998/namespace"/>
    <ds:schemaRef ds:uri="a91e38dd-2803-4a7e-9f77-b5b453adaa3a"/>
    <ds:schemaRef ds:uri="http://purl.org/dc/dcmitype/"/>
    <ds:schemaRef ds:uri="http://schemas.microsoft.com/office/2006/documentManagement/types"/>
    <ds:schemaRef ds:uri="http://purl.org/dc/elements/1.1/"/>
    <ds:schemaRef ds:uri="http://schemas.microsoft.com/office/infopath/2007/PartnerControls"/>
    <ds:schemaRef ds:uri="8783d4f6-7614-4ae5-9e1a-5e2b0a5ec009"/>
    <ds:schemaRef ds:uri="http://schemas.microsoft.com/office/2006/metadata/properties"/>
  </ds:schemaRefs>
</ds:datastoreItem>
</file>

<file path=customXml/itemProps2.xml><?xml version="1.0" encoding="utf-8"?>
<ds:datastoreItem xmlns:ds="http://schemas.openxmlformats.org/officeDocument/2006/customXml" ds:itemID="{6C7FCEC3-7E13-4C8D-9623-DBEF4B70B0A7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54A7D883-A81F-4122-857A-0EDE6A43462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91e38dd-2803-4a7e-9f77-b5b453adaa3a"/>
    <ds:schemaRef ds:uri="8783d4f6-7614-4ae5-9e1a-5e2b0a5ec00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Werkbladen</vt:lpstr>
      </vt:variant>
      <vt:variant>
        <vt:i4>8</vt:i4>
      </vt:variant>
    </vt:vector>
  </HeadingPairs>
  <TitlesOfParts>
    <vt:vector size="8" baseType="lpstr">
      <vt:lpstr>Afspraken 2025</vt:lpstr>
      <vt:lpstr>Taxaties 2026</vt:lpstr>
      <vt:lpstr>Polis 2026</vt:lpstr>
      <vt:lpstr>Huurlijsten 2026</vt:lpstr>
      <vt:lpstr>Jaarrekening 2026</vt:lpstr>
      <vt:lpstr>Add. beeindigingsgronden</vt:lpstr>
      <vt:lpstr>Grub check 2026</vt:lpstr>
      <vt:lpstr>Lijst (bijhouden)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Yannick Lammerts</dc:creator>
  <cp:lastModifiedBy>Yannick Lammerts | RAX Finance</cp:lastModifiedBy>
  <dcterms:created xsi:type="dcterms:W3CDTF">2025-01-02T10:56:24Z</dcterms:created>
  <dcterms:modified xsi:type="dcterms:W3CDTF">2026-03-18T10:24:05Z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0x01010036ADF2BDE47E0440B0329048DF9AA539</vt:lpwstr>
  </property>
  <property fmtid="{D5CDD505-2E9C-101B-9397-08002B2CF9AE}" pid="3" name="MediaServiceImageTags">
    <vt:lpwstr/>
  </property>
</Properties>
</file>