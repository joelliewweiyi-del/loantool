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raxinvest.sharepoint.com/sites/SharepointSite-RaxFinance/Gedeelde documenten/RED IV/Loan Tape per Maand RED IV/"/>
    </mc:Choice>
  </mc:AlternateContent>
  <xr:revisionPtr revIDLastSave="180" documentId="8_{19BD7EB0-5453-4243-8070-2BC8B16097CB}" xr6:coauthVersionLast="47" xr6:coauthVersionMax="47" xr10:uidLastSave="{E86A8653-9B2D-4BE2-8D8C-2AAD8933DA80}"/>
  <bookViews>
    <workbookView xWindow="-120" yWindow="-120" windowWidth="29040" windowHeight="15720" xr2:uid="{00000000-000D-0000-FFFF-FFFF00000000}"/>
  </bookViews>
  <sheets>
    <sheet name="Loan Tap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O14" i="4"/>
  <c r="O15" i="4" l="1"/>
  <c r="O27" i="4" s="1"/>
  <c r="N15" i="4"/>
  <c r="N27" i="4" s="1"/>
  <c r="K15" i="4"/>
  <c r="J15" i="4"/>
  <c r="J27" i="4" s="1"/>
  <c r="I15" i="4"/>
  <c r="I27" i="4" s="1"/>
  <c r="H15" i="4"/>
  <c r="B15" i="4"/>
  <c r="P14" i="4"/>
  <c r="P15" i="4" s="1"/>
  <c r="O25" i="4"/>
  <c r="N25" i="4"/>
  <c r="J25" i="4"/>
  <c r="I25" i="4"/>
  <c r="H25" i="4"/>
  <c r="K25" i="4" s="1"/>
  <c r="B25" i="4"/>
  <c r="Q25" i="4"/>
  <c r="P25" i="4" l="1"/>
  <c r="H27" i="4"/>
  <c r="Q27" i="4" s="1"/>
  <c r="B27" i="4"/>
  <c r="P27" i="4" l="1"/>
  <c r="K2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00000000-0015-0000-FFFF-FFFF01000000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3" xr16:uid="{E4E93C72-633A-46A9-BAC6-5719F432E1F1}" keepAlive="1" name="Query - Merge1 (3)" description="Connection to the 'Merge1 (3)' query in the workbook." type="5" refreshedVersion="8" background="1" saveData="1">
    <dbPr connection="Provider=Microsoft.Mashup.OleDb.1;Data Source=$Workbook$;Location=&quot;Merge1 (3)&quot;;Extended Properties=&quot;&quot;" command="SELECT * FROM [Merge1 (3)]"/>
  </connection>
  <connection id="4" xr16:uid="{00000000-0015-0000-FFFF-FFFF02000000}" keepAlive="1" name="Query - TMO New" description="Connection to the 'TMO New' query in the workbook." type="5" refreshedVersion="0" background="1">
    <dbPr connection="Provider=Microsoft.Mashup.OleDb.1;Data Source=$Workbook$;Location=&quot;TMO New&quot;;Extended Properties=&quot;&quot;" command="SELECT * FROM [TMO New]"/>
  </connection>
  <connection id="5" xr16:uid="{00000000-0015-0000-FFFF-FFFF03000000}" keepAlive="1" name="Query - TMO New (2)" description="Connection to the 'TMO New (2)' query in the workbook." type="5" refreshedVersion="0" background="1">
    <dbPr connection="Provider=Microsoft.Mashup.OleDb.1;Data Source=$Workbook$;Location=&quot;TMO New (2)&quot;;Extended Properties=&quot;&quot;" command="SELECT * FROM [TMO New (2)]"/>
  </connection>
  <connection id="6" xr16:uid="{9EA85FC5-E07D-40DB-8782-A826143DD6D9}" keepAlive="1" name="Query - TMO New (3)" description="Connection to the 'TMO New (3)' query in the workbook." type="5" refreshedVersion="0" background="1">
    <dbPr connection="Provider=Microsoft.Mashup.OleDb.1;Data Source=$Workbook$;Location=&quot;TMO New (3)&quot;;Extended Properties=&quot;&quot;" command="SELECT * FROM [TMO New (3)]"/>
  </connection>
  <connection id="7" xr16:uid="{00000000-0015-0000-FFFF-FFFF04000000}" keepAlive="1" name="Query - TMO Old" description="Connection to the 'TMO Old' query in the workbook." type="5" refreshedVersion="0" background="1">
    <dbPr connection="Provider=Microsoft.Mashup.OleDb.1;Data Source=$Workbook$;Location=&quot;TMO Old&quot;;Extended Properties=&quot;&quot;" command="SELECT * FROM [TMO Old]"/>
  </connection>
  <connection id="8" xr16:uid="{00000000-0015-0000-FFFF-FFFF05000000}" keepAlive="1" name="Query - TMO Old (2)" description="Connection to the 'TMO Old (2)' query in the workbook." type="5" refreshedVersion="0" background="1">
    <dbPr connection="Provider=Microsoft.Mashup.OleDb.1;Data Source=$Workbook$;Location=&quot;TMO Old (2)&quot;;Extended Properties=&quot;&quot;" command="SELECT * FROM [TMO Old (2)]"/>
  </connection>
  <connection id="9" xr16:uid="{C492B22D-5CFE-454D-AD46-7BD621334916}" keepAlive="1" name="Query - TMO Old (3)" description="Connection to the 'TMO Old (3)' query in the workbook." type="5" refreshedVersion="0" background="1">
    <dbPr connection="Provider=Microsoft.Mashup.OleDb.1;Data Source=$Workbook$;Location=&quot;TMO Old (3)&quot;;Extended Properties=&quot;&quot;" command="SELECT * FROM [TMO Old (3)]"/>
  </connection>
</connections>
</file>

<file path=xl/sharedStrings.xml><?xml version="1.0" encoding="utf-8"?>
<sst xmlns="http://schemas.openxmlformats.org/spreadsheetml/2006/main" count="90" uniqueCount="59">
  <si>
    <t>Loan ID</t>
  </si>
  <si>
    <t>City</t>
  </si>
  <si>
    <t>Remarks</t>
  </si>
  <si>
    <t>Interest Rate</t>
  </si>
  <si>
    <t>Rental Income</t>
  </si>
  <si>
    <t>Valuation (as-is)</t>
  </si>
  <si>
    <t>LTV</t>
  </si>
  <si>
    <t>Duration</t>
  </si>
  <si>
    <t>Leased</t>
  </si>
  <si>
    <t>Residential</t>
  </si>
  <si>
    <t xml:space="preserve">Light Industrial </t>
  </si>
  <si>
    <t>Retail</t>
  </si>
  <si>
    <t>Redevelopment</t>
  </si>
  <si>
    <t>Category</t>
  </si>
  <si>
    <t>Status</t>
  </si>
  <si>
    <t>Baarn</t>
  </si>
  <si>
    <t>Den Bosch</t>
  </si>
  <si>
    <t>Den Dolder</t>
  </si>
  <si>
    <t>Purchase of monumental land estate for redevelopment</t>
  </si>
  <si>
    <t xml:space="preserve">Existing shopping center on ground floor; Refurbishment of vacant upper floors into care apartments </t>
  </si>
  <si>
    <t>Rotterdam</t>
  </si>
  <si>
    <t>Mixed</t>
  </si>
  <si>
    <t>Development</t>
  </si>
  <si>
    <t>Top-up construction facility for completion of apartment complex</t>
  </si>
  <si>
    <t>Amsterdam</t>
  </si>
  <si>
    <t>Office</t>
  </si>
  <si>
    <t>Utrecht</t>
  </si>
  <si>
    <t>Hotel</t>
  </si>
  <si>
    <t>Maturity Date</t>
  </si>
  <si>
    <t>Ridderkerk</t>
  </si>
  <si>
    <t>Earmarked</t>
  </si>
  <si>
    <t>Commitment</t>
  </si>
  <si>
    <t>Outstanding</t>
  </si>
  <si>
    <t>Undrawn</t>
  </si>
  <si>
    <t>Original Start Date</t>
  </si>
  <si>
    <t>Construction financing of a former office asset into hotel and short-stay apartments. Fully permitted</t>
  </si>
  <si>
    <t>Owner-occupied asset. Borrower is a portco of a large PE firm</t>
  </si>
  <si>
    <t>Prime retail property with strong tenant (HEMA)</t>
  </si>
  <si>
    <t xml:space="preserve">Leased asset to a medical centre.  Possible future redevelopment </t>
  </si>
  <si>
    <t>Muiden</t>
  </si>
  <si>
    <t>Leased,  office asset - multi tenants</t>
  </si>
  <si>
    <t>Resi asset with plan to split into smaller units and sale</t>
  </si>
  <si>
    <t>Multi tenant offices. Possible long term redevelopment potential</t>
  </si>
  <si>
    <t>Oss</t>
  </si>
  <si>
    <t xml:space="preserve">Partially owner-occupied modern industrial property </t>
  </si>
  <si>
    <t>Portfolio of residential, commercial and office assets</t>
  </si>
  <si>
    <t>Zevenaar</t>
  </si>
  <si>
    <t>Fully permitted land for residential development</t>
  </si>
  <si>
    <t>Amsterdam / Almere / Amersfoort</t>
  </si>
  <si>
    <t>Short term Bridge finance of leased resi units in Amsterdam</t>
  </si>
  <si>
    <t>Vught</t>
  </si>
  <si>
    <t>Leased office in Amsterdam</t>
  </si>
  <si>
    <t>Fully permitted land for residential development. Apartment pre-sale started</t>
  </si>
  <si>
    <t>Land</t>
  </si>
  <si>
    <t>Land for residential developmenet</t>
  </si>
  <si>
    <t>Income Producing</t>
  </si>
  <si>
    <t>Non-Income Producing</t>
  </si>
  <si>
    <t xml:space="preserve">Refinancing of income producing logistics portfolio </t>
  </si>
  <si>
    <t>Geldermalsen / Kapelle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</si>
</sst>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 * #,##0_ ;_ * \-#,##0_ ;_ * &quot;-&quot;??_ ;_ @_ "/>
    <numFmt numFmtId="166" formatCode="_-* #,##0.00\ _X_D_R_-;\-* #,##0.00\ _X_D_R_-;_-* &quot;-&quot;??\ _X_D_R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2060"/>
      <name val="Barlow"/>
    </font>
    <font>
      <sz val="12"/>
      <color theme="1"/>
      <name val="Calibri"/>
      <family val="2"/>
      <scheme val="minor"/>
    </font>
    <font>
      <sz val="8"/>
      <color theme="1"/>
      <name val="Barlow"/>
    </font>
    <font>
      <sz val="11"/>
      <name val="Calibri"/>
      <family val="2"/>
    </font>
    <font>
      <sz val="7.5"/>
      <color theme="1" tint="0.249977111117893"/>
      <name val="Barlow"/>
    </font>
    <font>
      <b/>
      <sz val="9"/>
      <color theme="0"/>
      <name val="Barlow"/>
    </font>
    <font>
      <sz val="7.5"/>
      <color theme="2" tint="-0.749992370372631"/>
      <name val="Barlow"/>
    </font>
    <font>
      <sz val="7.5"/>
      <color rgb="FF002060"/>
      <name val="Barlow"/>
    </font>
    <font>
      <b/>
      <u/>
      <sz val="8"/>
      <color theme="1"/>
      <name val="Barlow"/>
    </font>
  </fonts>
  <fills count="6">
    <fill>
      <patternFill patternType="none"/>
    </fill>
    <fill>
      <patternFill patternType="gray125"/>
    </fill>
    <fill>
      <patternFill patternType="solid">
        <fgColor rgb="FF1D3E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E7FC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/>
      <bottom style="thin">
        <color rgb="FF002060"/>
      </bottom>
      <diagonal/>
    </border>
    <border>
      <left/>
      <right style="thin">
        <color rgb="FFFFFFFF"/>
      </right>
      <top style="thin">
        <color rgb="FF002060"/>
      </top>
      <bottom style="thin">
        <color rgb="FF002060"/>
      </bottom>
      <diagonal/>
    </border>
    <border>
      <left style="thin">
        <color theme="0"/>
      </left>
      <right style="thin">
        <color theme="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5" borderId="0" xfId="1" applyNumberFormat="1" applyFont="1" applyFill="1" applyBorder="1" applyAlignment="1">
      <alignment horizontal="center" vertical="center"/>
    </xf>
    <xf numFmtId="165" fontId="2" fillId="5" borderId="0" xfId="1" applyNumberFormat="1" applyFont="1" applyFill="1" applyBorder="1" applyAlignment="1">
      <alignment horizontal="center" vertical="center"/>
    </xf>
    <xf numFmtId="166" fontId="2" fillId="5" borderId="0" xfId="1" applyNumberFormat="1" applyFont="1" applyFill="1" applyBorder="1" applyAlignment="1">
      <alignment horizontal="center" vertical="center"/>
    </xf>
    <xf numFmtId="0" fontId="4" fillId="0" borderId="0" xfId="0" applyFont="1"/>
    <xf numFmtId="10" fontId="2" fillId="5" borderId="0" xfId="2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64" fontId="6" fillId="3" borderId="2" xfId="1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1" fontId="8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165" fontId="9" fillId="4" borderId="4" xfId="1" applyNumberFormat="1" applyFont="1" applyFill="1" applyBorder="1" applyAlignment="1">
      <alignment horizontal="right" vertical="center" indent="5"/>
    </xf>
    <xf numFmtId="10" fontId="9" fillId="4" borderId="2" xfId="2" applyNumberFormat="1" applyFont="1" applyFill="1" applyBorder="1" applyAlignment="1">
      <alignment horizontal="right" vertical="center"/>
    </xf>
    <xf numFmtId="14" fontId="9" fillId="4" borderId="2" xfId="2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65" fontId="8" fillId="4" borderId="2" xfId="1" applyNumberFormat="1" applyFont="1" applyFill="1" applyBorder="1" applyAlignment="1">
      <alignment horizontal="right" vertical="center"/>
    </xf>
    <xf numFmtId="2" fontId="9" fillId="4" borderId="4" xfId="0" applyNumberFormat="1" applyFont="1" applyFill="1" applyBorder="1" applyAlignment="1">
      <alignment horizontal="center" vertical="center"/>
    </xf>
    <xf numFmtId="10" fontId="8" fillId="4" borderId="4" xfId="2" applyNumberFormat="1" applyFont="1" applyFill="1" applyBorder="1" applyAlignment="1">
      <alignment horizontal="center" vertical="center"/>
    </xf>
    <xf numFmtId="0" fontId="10" fillId="0" borderId="0" xfId="0" applyFont="1"/>
    <xf numFmtId="0" fontId="2" fillId="5" borderId="6" xfId="1" applyNumberFormat="1" applyFont="1" applyFill="1" applyBorder="1" applyAlignment="1">
      <alignment horizontal="center" vertical="center"/>
    </xf>
    <xf numFmtId="165" fontId="2" fillId="5" borderId="6" xfId="1" applyNumberFormat="1" applyFont="1" applyFill="1" applyBorder="1" applyAlignment="1">
      <alignment horizontal="center" vertical="center"/>
    </xf>
    <xf numFmtId="10" fontId="2" fillId="5" borderId="6" xfId="2" applyNumberFormat="1" applyFont="1" applyFill="1" applyBorder="1" applyAlignment="1">
      <alignment horizontal="right" vertical="center"/>
    </xf>
    <xf numFmtId="166" fontId="2" fillId="5" borderId="6" xfId="1" applyNumberFormat="1" applyFont="1" applyFill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64" fontId="6" fillId="3" borderId="7" xfId="1" applyNumberFormat="1" applyFont="1" applyFill="1" applyBorder="1" applyAlignment="1">
      <alignment horizontal="left" vertical="center"/>
    </xf>
    <xf numFmtId="165" fontId="9" fillId="4" borderId="7" xfId="1" applyNumberFormat="1" applyFont="1" applyFill="1" applyBorder="1" applyAlignment="1">
      <alignment horizontal="right" vertical="center" indent="5"/>
    </xf>
    <xf numFmtId="10" fontId="9" fillId="4" borderId="7" xfId="2" applyNumberFormat="1" applyFont="1" applyFill="1" applyBorder="1" applyAlignment="1">
      <alignment horizontal="right" vertical="center"/>
    </xf>
    <xf numFmtId="14" fontId="9" fillId="4" borderId="7" xfId="2" applyNumberFormat="1" applyFont="1" applyFill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65" fontId="8" fillId="4" borderId="7" xfId="1" applyNumberFormat="1" applyFont="1" applyFill="1" applyBorder="1" applyAlignment="1">
      <alignment horizontal="right" vertical="center"/>
    </xf>
    <xf numFmtId="10" fontId="8" fillId="4" borderId="7" xfId="2" applyNumberFormat="1" applyFont="1" applyFill="1" applyBorder="1" applyAlignment="1">
      <alignment horizontal="center" vertical="center"/>
    </xf>
    <xf numFmtId="2" fontId="9" fillId="4" borderId="7" xfId="0" applyNumberFormat="1" applyFont="1" applyFill="1" applyBorder="1" applyAlignment="1">
      <alignment horizontal="center" vertical="center"/>
    </xf>
  </cellXfs>
  <cellStyles count="8">
    <cellStyle name="Comma" xfId="1" builtinId="3"/>
    <cellStyle name="Comma 3" xfId="7" xr:uid="{95F64164-F824-40EE-B6E8-876E918E452C}"/>
    <cellStyle name="Normal" xfId="0" builtinId="0"/>
    <cellStyle name="Normal 2" xfId="4" xr:uid="{37FE8CEF-2076-4F22-9952-7581BB50F0CE}"/>
    <cellStyle name="Normal 3" xfId="5" xr:uid="{D94A2505-F6E0-4975-BB0D-73AA29F3C36E}"/>
    <cellStyle name="Normal 4" xfId="6" xr:uid="{54553DA4-DD22-4CD6-85F2-DAA65ADD133C}"/>
    <cellStyle name="Normal 5" xfId="3" xr:uid="{2629814F-15B7-4F2D-A9DB-A474814572DA}"/>
    <cellStyle name="Percent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D63-9749-46EE-8A5F-4BE1847C3021}">
  <dimension ref="B1:Q68"/>
  <sheetViews>
    <sheetView showGridLines="0" tabSelected="1" topLeftCell="H9" zoomScale="160" zoomScaleNormal="160" workbookViewId="0">
      <selection activeCell="O27" sqref="O27"/>
    </sheetView>
  </sheetViews>
  <sheetFormatPr defaultColWidth="8.7109375" defaultRowHeight="0" customHeight="1" zeroHeight="1" x14ac:dyDescent="0.25"/>
  <cols>
    <col min="1" max="1" width="3.42578125" style="4" customWidth="1"/>
    <col min="2" max="2" width="10.28515625" style="4" bestFit="1" customWidth="1"/>
    <col min="3" max="3" width="13.5703125" style="4" customWidth="1"/>
    <col min="4" max="4" width="11.42578125" style="4" bestFit="1" customWidth="1"/>
    <col min="5" max="5" width="70.140625" style="4" customWidth="1"/>
    <col min="6" max="6" width="12.28515625" style="4" bestFit="1" customWidth="1"/>
    <col min="7" max="7" width="13.85546875" style="4" bestFit="1" customWidth="1"/>
    <col min="8" max="8" width="16" style="4" bestFit="1" customWidth="1"/>
    <col min="9" max="10" width="15.42578125" style="4" bestFit="1" customWidth="1"/>
    <col min="11" max="11" width="16.7109375" style="4" bestFit="1" customWidth="1"/>
    <col min="12" max="12" width="23.7109375" style="4" bestFit="1" customWidth="1"/>
    <col min="13" max="13" width="17.85546875" style="4" bestFit="1" customWidth="1"/>
    <col min="14" max="14" width="18" style="4" bestFit="1" customWidth="1"/>
    <col min="15" max="15" width="20.7109375" style="4" bestFit="1" customWidth="1"/>
    <col min="16" max="16" width="8.42578125" style="4" bestFit="1" customWidth="1"/>
    <col min="17" max="17" width="11.85546875" style="4" bestFit="1" customWidth="1"/>
    <col min="18" max="16375" width="8.7109375" style="4"/>
    <col min="16376" max="16384" width="10.7109375" style="4" customWidth="1"/>
  </cols>
  <sheetData>
    <row r="1" spans="2:17" ht="12.6" customHeight="1" x14ac:dyDescent="0.25"/>
    <row r="2" spans="2:17" s="6" customFormat="1" ht="20.100000000000001" customHeight="1" x14ac:dyDescent="0.25">
      <c r="B2" s="8" t="s">
        <v>0</v>
      </c>
      <c r="C2" s="9" t="s">
        <v>1</v>
      </c>
      <c r="D2" s="10" t="s">
        <v>14</v>
      </c>
      <c r="E2" s="11" t="s">
        <v>2</v>
      </c>
      <c r="F2" s="11" t="s">
        <v>13</v>
      </c>
      <c r="G2" s="11" t="s">
        <v>30</v>
      </c>
      <c r="H2" s="8" t="s">
        <v>31</v>
      </c>
      <c r="I2" s="8" t="s">
        <v>32</v>
      </c>
      <c r="J2" s="8" t="s">
        <v>33</v>
      </c>
      <c r="K2" s="8" t="s">
        <v>3</v>
      </c>
      <c r="L2" s="8" t="s">
        <v>34</v>
      </c>
      <c r="M2" s="8" t="s">
        <v>28</v>
      </c>
      <c r="N2" s="8" t="s">
        <v>4</v>
      </c>
      <c r="O2" s="12" t="s">
        <v>5</v>
      </c>
      <c r="P2" s="8" t="s">
        <v>6</v>
      </c>
      <c r="Q2" s="8" t="s">
        <v>7</v>
      </c>
    </row>
    <row r="3" spans="2:17" ht="12" customHeight="1" x14ac:dyDescent="0.25">
      <c r="B3" s="23" t="s">
        <v>55</v>
      </c>
    </row>
    <row r="4" spans="2:17" ht="12.6" customHeight="1" x14ac:dyDescent="0.25">
      <c r="B4" s="28">
        <v>493</v>
      </c>
      <c r="C4" s="29" t="s">
        <v>15</v>
      </c>
      <c r="D4" s="14" t="s">
        <v>8</v>
      </c>
      <c r="E4" s="14" t="s">
        <v>36</v>
      </c>
      <c r="F4" s="14" t="s">
        <v>10</v>
      </c>
      <c r="G4" s="15" t="b">
        <v>1</v>
      </c>
      <c r="H4" s="16">
        <v>7500000</v>
      </c>
      <c r="I4" s="16">
        <v>7500000</v>
      </c>
      <c r="J4" s="30">
        <v>0</v>
      </c>
      <c r="K4" s="31">
        <v>0.08</v>
      </c>
      <c r="L4" s="32">
        <v>45962</v>
      </c>
      <c r="M4" s="33">
        <v>47027</v>
      </c>
      <c r="N4" s="34">
        <v>900000</v>
      </c>
      <c r="O4" s="34">
        <v>12250000</v>
      </c>
      <c r="P4" s="35">
        <v>0.61224489795918369</v>
      </c>
      <c r="Q4" s="36">
        <v>2.9158110882956878</v>
      </c>
    </row>
    <row r="5" spans="2:17" ht="12.6" customHeight="1" x14ac:dyDescent="0.25">
      <c r="B5" s="13">
        <v>504</v>
      </c>
      <c r="C5" s="7" t="s">
        <v>16</v>
      </c>
      <c r="D5" s="14" t="s">
        <v>8</v>
      </c>
      <c r="E5" s="14" t="s">
        <v>37</v>
      </c>
      <c r="F5" s="14" t="s">
        <v>11</v>
      </c>
      <c r="G5" s="15" t="b">
        <v>1</v>
      </c>
      <c r="H5" s="16">
        <v>7000000</v>
      </c>
      <c r="I5" s="16">
        <v>7000000</v>
      </c>
      <c r="J5" s="16">
        <v>0</v>
      </c>
      <c r="K5" s="17">
        <v>0.08</v>
      </c>
      <c r="L5" s="18">
        <v>45962</v>
      </c>
      <c r="M5" s="19">
        <v>47041</v>
      </c>
      <c r="N5" s="20">
        <v>780100</v>
      </c>
      <c r="O5" s="20">
        <v>10670000</v>
      </c>
      <c r="P5" s="22">
        <v>0.6560449859418932</v>
      </c>
      <c r="Q5" s="21">
        <v>2.9541409993155372</v>
      </c>
    </row>
    <row r="6" spans="2:17" ht="12.6" customHeight="1" x14ac:dyDescent="0.25">
      <c r="B6" s="13">
        <v>507</v>
      </c>
      <c r="C6" s="7" t="s">
        <v>29</v>
      </c>
      <c r="D6" s="14" t="s">
        <v>8</v>
      </c>
      <c r="E6" s="14" t="s">
        <v>19</v>
      </c>
      <c r="F6" s="14" t="s">
        <v>11</v>
      </c>
      <c r="G6" s="15" t="b">
        <v>1</v>
      </c>
      <c r="H6" s="16">
        <v>6500000</v>
      </c>
      <c r="I6" s="16">
        <v>4693871.8499999996</v>
      </c>
      <c r="J6" s="16">
        <v>1806128.1500000004</v>
      </c>
      <c r="K6" s="17">
        <v>8.6499999999999994E-2</v>
      </c>
      <c r="L6" s="18">
        <v>45962</v>
      </c>
      <c r="M6" s="19">
        <v>46478</v>
      </c>
      <c r="N6" s="20">
        <v>1369000</v>
      </c>
      <c r="O6" s="20">
        <v>20460000</v>
      </c>
      <c r="P6" s="22">
        <v>0.31769305962854349</v>
      </c>
      <c r="Q6" s="21">
        <v>1.4127310061601643</v>
      </c>
    </row>
    <row r="7" spans="2:17" ht="12.6" customHeight="1" x14ac:dyDescent="0.25">
      <c r="B7" s="13">
        <v>509</v>
      </c>
      <c r="C7" s="7" t="s">
        <v>20</v>
      </c>
      <c r="D7" s="14" t="s">
        <v>8</v>
      </c>
      <c r="E7" s="14" t="s">
        <v>38</v>
      </c>
      <c r="F7" s="14" t="s">
        <v>21</v>
      </c>
      <c r="G7" s="15" t="b">
        <v>1</v>
      </c>
      <c r="H7" s="16">
        <v>1500000</v>
      </c>
      <c r="I7" s="16">
        <v>1500000</v>
      </c>
      <c r="J7" s="16">
        <v>0</v>
      </c>
      <c r="K7" s="17">
        <v>7.7499999999999999E-2</v>
      </c>
      <c r="L7" s="18">
        <v>45962</v>
      </c>
      <c r="M7" s="19">
        <v>46486</v>
      </c>
      <c r="N7" s="20">
        <v>160000</v>
      </c>
      <c r="O7" s="20">
        <v>2200000</v>
      </c>
      <c r="P7" s="22">
        <v>0.68181818181818177</v>
      </c>
      <c r="Q7" s="21">
        <v>1.4346338124572211</v>
      </c>
    </row>
    <row r="8" spans="2:17" ht="12.6" customHeight="1" x14ac:dyDescent="0.25">
      <c r="B8" s="13">
        <v>511</v>
      </c>
      <c r="C8" s="7" t="s">
        <v>24</v>
      </c>
      <c r="D8" s="14" t="s">
        <v>8</v>
      </c>
      <c r="E8" s="14" t="s">
        <v>49</v>
      </c>
      <c r="F8" s="14" t="s">
        <v>9</v>
      </c>
      <c r="G8" s="15" t="b">
        <v>1</v>
      </c>
      <c r="H8" s="16">
        <v>2500000</v>
      </c>
      <c r="I8" s="16">
        <v>2500000</v>
      </c>
      <c r="J8" s="16">
        <v>0</v>
      </c>
      <c r="K8" s="17">
        <v>0.08</v>
      </c>
      <c r="L8" s="18">
        <v>45962</v>
      </c>
      <c r="M8" s="19">
        <v>46142</v>
      </c>
      <c r="N8" s="20">
        <v>124000</v>
      </c>
      <c r="O8" s="20">
        <v>5138480</v>
      </c>
      <c r="P8" s="22">
        <v>0.48652519811306066</v>
      </c>
      <c r="Q8" s="21">
        <v>0.49281314168377821</v>
      </c>
    </row>
    <row r="9" spans="2:17" ht="12.6" customHeight="1" x14ac:dyDescent="0.25">
      <c r="B9" s="13">
        <v>513</v>
      </c>
      <c r="C9" s="7" t="s">
        <v>16</v>
      </c>
      <c r="D9" s="14" t="s">
        <v>8</v>
      </c>
      <c r="E9" s="14" t="s">
        <v>40</v>
      </c>
      <c r="F9" s="14" t="s">
        <v>25</v>
      </c>
      <c r="G9" s="15" t="b">
        <v>1</v>
      </c>
      <c r="H9" s="16">
        <v>8250000</v>
      </c>
      <c r="I9" s="16">
        <v>8250000</v>
      </c>
      <c r="J9" s="16">
        <v>0</v>
      </c>
      <c r="K9" s="17">
        <v>7.1499999999999994E-2</v>
      </c>
      <c r="L9" s="18">
        <v>46023</v>
      </c>
      <c r="M9" s="19">
        <v>47105</v>
      </c>
      <c r="N9" s="20">
        <v>1230000</v>
      </c>
      <c r="O9" s="20">
        <v>13800000</v>
      </c>
      <c r="P9" s="22">
        <v>0.59782608695652173</v>
      </c>
      <c r="Q9" s="21">
        <v>2.9623545516769334</v>
      </c>
    </row>
    <row r="10" spans="2:17" ht="12.6" customHeight="1" x14ac:dyDescent="0.25">
      <c r="B10" s="13">
        <v>515</v>
      </c>
      <c r="C10" s="7" t="s">
        <v>26</v>
      </c>
      <c r="D10" s="14" t="s">
        <v>8</v>
      </c>
      <c r="E10" s="14" t="s">
        <v>42</v>
      </c>
      <c r="F10" s="14" t="s">
        <v>25</v>
      </c>
      <c r="G10" s="15" t="b">
        <v>1</v>
      </c>
      <c r="H10" s="16">
        <v>12000000</v>
      </c>
      <c r="I10" s="16">
        <v>12000000</v>
      </c>
      <c r="J10" s="16">
        <v>0</v>
      </c>
      <c r="K10" s="17">
        <v>7.0000000000000007E-2</v>
      </c>
      <c r="L10" s="18">
        <v>46054</v>
      </c>
      <c r="M10" s="19">
        <v>47114</v>
      </c>
      <c r="N10" s="20">
        <v>2150000</v>
      </c>
      <c r="O10" s="20">
        <v>20050000</v>
      </c>
      <c r="P10" s="22">
        <v>0.59850374064837908</v>
      </c>
      <c r="Q10" s="21">
        <v>2.9021218343600275</v>
      </c>
    </row>
    <row r="11" spans="2:17" ht="12.6" customHeight="1" x14ac:dyDescent="0.25">
      <c r="B11" s="13">
        <v>518</v>
      </c>
      <c r="C11" s="7" t="s">
        <v>48</v>
      </c>
      <c r="D11" s="14" t="s">
        <v>8</v>
      </c>
      <c r="E11" s="14" t="s">
        <v>45</v>
      </c>
      <c r="F11" s="14" t="s">
        <v>21</v>
      </c>
      <c r="G11" s="15" t="b">
        <v>1</v>
      </c>
      <c r="H11" s="16">
        <v>5000000</v>
      </c>
      <c r="I11" s="16">
        <v>5000000</v>
      </c>
      <c r="J11" s="16">
        <v>0</v>
      </c>
      <c r="K11" s="17">
        <v>0.09</v>
      </c>
      <c r="L11" s="18">
        <v>46054</v>
      </c>
      <c r="M11" s="19">
        <v>46215</v>
      </c>
      <c r="N11" s="20">
        <v>867000</v>
      </c>
      <c r="O11" s="20">
        <v>14580000</v>
      </c>
      <c r="P11" s="22">
        <v>0.34293552812071332</v>
      </c>
      <c r="Q11" s="21">
        <v>0.44079397672826831</v>
      </c>
    </row>
    <row r="12" spans="2:17" ht="12.6" customHeight="1" x14ac:dyDescent="0.25">
      <c r="B12" s="13">
        <v>520</v>
      </c>
      <c r="C12" s="7" t="s">
        <v>43</v>
      </c>
      <c r="D12" s="14" t="s">
        <v>8</v>
      </c>
      <c r="E12" s="14" t="s">
        <v>44</v>
      </c>
      <c r="F12" s="14" t="s">
        <v>10</v>
      </c>
      <c r="G12" s="15" t="b">
        <v>1</v>
      </c>
      <c r="H12" s="16">
        <v>8000000</v>
      </c>
      <c r="I12" s="16">
        <v>8000000</v>
      </c>
      <c r="J12" s="16">
        <v>0</v>
      </c>
      <c r="K12" s="17">
        <v>0.08</v>
      </c>
      <c r="L12" s="18">
        <v>46023</v>
      </c>
      <c r="M12" s="19">
        <v>47106</v>
      </c>
      <c r="N12" s="20">
        <v>1500000</v>
      </c>
      <c r="O12" s="20">
        <v>23500000</v>
      </c>
      <c r="P12" s="22">
        <v>0.34042553191489361</v>
      </c>
      <c r="Q12" s="21">
        <v>2.9650924024640659</v>
      </c>
    </row>
    <row r="13" spans="2:17" ht="12.6" customHeight="1" x14ac:dyDescent="0.25">
      <c r="B13" s="13">
        <v>512</v>
      </c>
      <c r="C13" s="7" t="s">
        <v>24</v>
      </c>
      <c r="D13" s="14" t="s">
        <v>8</v>
      </c>
      <c r="E13" s="14" t="s">
        <v>51</v>
      </c>
      <c r="F13" s="14" t="s">
        <v>25</v>
      </c>
      <c r="G13" s="15" t="b">
        <v>1</v>
      </c>
      <c r="H13" s="16">
        <v>975000</v>
      </c>
      <c r="I13" s="16">
        <v>975000</v>
      </c>
      <c r="J13" s="16"/>
      <c r="K13" s="17">
        <v>0.09</v>
      </c>
      <c r="L13" s="18">
        <v>45959</v>
      </c>
      <c r="M13" s="19">
        <v>46324</v>
      </c>
      <c r="N13" s="20">
        <v>167000</v>
      </c>
      <c r="O13" s="20">
        <v>2250000</v>
      </c>
      <c r="P13" s="22">
        <v>0.43333333333333335</v>
      </c>
      <c r="Q13" s="21">
        <v>0.99931553730321698</v>
      </c>
    </row>
    <row r="14" spans="2:17" ht="12.6" customHeight="1" x14ac:dyDescent="0.25">
      <c r="B14" s="13">
        <v>516</v>
      </c>
      <c r="C14" s="7" t="s">
        <v>58</v>
      </c>
      <c r="D14" s="14" t="s">
        <v>8</v>
      </c>
      <c r="E14" s="14" t="s">
        <v>57</v>
      </c>
      <c r="F14" s="14" t="s">
        <v>10</v>
      </c>
      <c r="G14" s="15" t="b">
        <v>1</v>
      </c>
      <c r="H14" s="16">
        <v>27000000</v>
      </c>
      <c r="I14" s="16">
        <v>27000000</v>
      </c>
      <c r="J14" s="16"/>
      <c r="K14" s="17">
        <v>8.5000000000000006E-2</v>
      </c>
      <c r="L14" s="18">
        <v>45717</v>
      </c>
      <c r="M14" s="19">
        <v>46813</v>
      </c>
      <c r="N14" s="20">
        <v>4400000</v>
      </c>
      <c r="O14" s="20">
        <f>52500000</f>
        <v>52500000</v>
      </c>
      <c r="P14" s="22">
        <f>H14/O14</f>
        <v>0.51428571428571423</v>
      </c>
      <c r="Q14" s="21">
        <v>3</v>
      </c>
    </row>
    <row r="15" spans="2:17" ht="12.6" customHeight="1" x14ac:dyDescent="0.25">
      <c r="B15" s="1">
        <f>COUNT(B4:B14)</f>
        <v>11</v>
      </c>
      <c r="C15" s="1"/>
      <c r="D15" s="1"/>
      <c r="E15" s="1"/>
      <c r="F15" s="1"/>
      <c r="G15" s="1"/>
      <c r="H15" s="2">
        <f>SUM(H4:H14)</f>
        <v>86225000</v>
      </c>
      <c r="I15" s="2">
        <f>SUM(I4:I14)</f>
        <v>84418871.849999994</v>
      </c>
      <c r="J15" s="2">
        <f>SUM(J4:J14)</f>
        <v>1806128.1500000004</v>
      </c>
      <c r="K15" s="5">
        <f>SUMPRODUCT($K$4:$K$14,$H$4:$H$14)/H15</f>
        <v>8.0500144969556389E-2</v>
      </c>
      <c r="L15" s="1"/>
      <c r="M15" s="1"/>
      <c r="N15" s="2">
        <f>SUM(N4:N14)</f>
        <v>13647100</v>
      </c>
      <c r="O15" s="2">
        <f>SUM(O4:O14)</f>
        <v>177398480</v>
      </c>
      <c r="P15" s="5">
        <f>SUMPRODUCT($P$4:$P$14,$H$4:$H$14)/H15</f>
        <v>0.51433578519792911</v>
      </c>
      <c r="Q15" s="3">
        <f>SUMPRODUCT($Q$4:$Q$14,$H$4:$H$14)/H15</f>
        <v>2.5778861593069564</v>
      </c>
    </row>
    <row r="16" spans="2:17" ht="12.6" customHeight="1" x14ac:dyDescent="0.25"/>
    <row r="17" spans="2:17" ht="12.6" customHeight="1" x14ac:dyDescent="0.25">
      <c r="B17" s="23" t="s">
        <v>56</v>
      </c>
    </row>
    <row r="18" spans="2:17" ht="12.6" customHeight="1" x14ac:dyDescent="0.25">
      <c r="B18" s="28">
        <v>484</v>
      </c>
      <c r="C18" s="29" t="s">
        <v>26</v>
      </c>
      <c r="D18" s="14" t="s">
        <v>12</v>
      </c>
      <c r="E18" s="14" t="s">
        <v>35</v>
      </c>
      <c r="F18" s="14" t="s">
        <v>27</v>
      </c>
      <c r="G18" s="15" t="b">
        <v>0</v>
      </c>
      <c r="H18" s="16">
        <v>25000000</v>
      </c>
      <c r="I18" s="16">
        <v>8696509.0899999999</v>
      </c>
      <c r="J18" s="30">
        <v>16303490.91</v>
      </c>
      <c r="K18" s="31">
        <v>0.08</v>
      </c>
      <c r="L18" s="32">
        <v>45992</v>
      </c>
      <c r="M18" s="33">
        <v>46692</v>
      </c>
      <c r="N18" s="34">
        <v>0</v>
      </c>
      <c r="O18" s="34">
        <v>39300000</v>
      </c>
      <c r="P18" s="35">
        <v>0.63613231552162852</v>
      </c>
      <c r="Q18" s="36">
        <v>1.9164955509924708</v>
      </c>
    </row>
    <row r="19" spans="2:17" ht="12.6" customHeight="1" x14ac:dyDescent="0.25">
      <c r="B19" s="13">
        <v>505</v>
      </c>
      <c r="C19" s="7" t="s">
        <v>17</v>
      </c>
      <c r="D19" s="14" t="s">
        <v>12</v>
      </c>
      <c r="E19" s="14" t="s">
        <v>18</v>
      </c>
      <c r="F19" s="14" t="s">
        <v>9</v>
      </c>
      <c r="G19" s="15" t="b">
        <v>0</v>
      </c>
      <c r="H19" s="16">
        <v>2500000</v>
      </c>
      <c r="I19" s="16">
        <v>2500000</v>
      </c>
      <c r="J19" s="16">
        <v>0</v>
      </c>
      <c r="K19" s="17">
        <v>8.7499999999999994E-2</v>
      </c>
      <c r="L19" s="18">
        <v>45931</v>
      </c>
      <c r="M19" s="19">
        <v>46275</v>
      </c>
      <c r="N19" s="20">
        <v>0</v>
      </c>
      <c r="O19" s="20">
        <v>3800000</v>
      </c>
      <c r="P19" s="22">
        <v>0.65789473684210531</v>
      </c>
      <c r="Q19" s="21">
        <v>0.94182067077344289</v>
      </c>
    </row>
    <row r="20" spans="2:17" ht="12.6" customHeight="1" x14ac:dyDescent="0.25">
      <c r="B20" s="13">
        <v>510</v>
      </c>
      <c r="C20" s="7" t="s">
        <v>39</v>
      </c>
      <c r="D20" s="14" t="s">
        <v>22</v>
      </c>
      <c r="E20" s="14" t="s">
        <v>23</v>
      </c>
      <c r="F20" s="14" t="s">
        <v>9</v>
      </c>
      <c r="G20" s="15" t="b">
        <v>0</v>
      </c>
      <c r="H20" s="16">
        <v>2700000</v>
      </c>
      <c r="I20" s="16">
        <v>2700000</v>
      </c>
      <c r="J20" s="16">
        <v>0</v>
      </c>
      <c r="K20" s="17">
        <v>0.09</v>
      </c>
      <c r="L20" s="18">
        <v>45931</v>
      </c>
      <c r="M20" s="19">
        <v>46387</v>
      </c>
      <c r="N20" s="20">
        <v>0</v>
      </c>
      <c r="O20" s="20">
        <v>8000000</v>
      </c>
      <c r="P20" s="22">
        <v>0.33750000000000002</v>
      </c>
      <c r="Q20" s="21">
        <v>1.2484599589322383</v>
      </c>
    </row>
    <row r="21" spans="2:17" ht="12.6" customHeight="1" x14ac:dyDescent="0.25">
      <c r="B21" s="13">
        <v>514</v>
      </c>
      <c r="C21" s="7" t="s">
        <v>24</v>
      </c>
      <c r="D21" s="14" t="s">
        <v>8</v>
      </c>
      <c r="E21" s="14" t="s">
        <v>41</v>
      </c>
      <c r="F21" s="14" t="s">
        <v>9</v>
      </c>
      <c r="G21" s="15" t="b">
        <v>0</v>
      </c>
      <c r="H21" s="16">
        <v>700000</v>
      </c>
      <c r="I21" s="16">
        <v>700000</v>
      </c>
      <c r="J21" s="16">
        <v>0</v>
      </c>
      <c r="K21" s="17">
        <v>8.2500000000000004E-2</v>
      </c>
      <c r="L21" s="18">
        <v>45962</v>
      </c>
      <c r="M21" s="19">
        <v>46507</v>
      </c>
      <c r="N21" s="20">
        <v>47000</v>
      </c>
      <c r="O21" s="20">
        <v>960000</v>
      </c>
      <c r="P21" s="22">
        <v>0.72916666666666663</v>
      </c>
      <c r="Q21" s="21">
        <v>1.4921286789869952</v>
      </c>
    </row>
    <row r="22" spans="2:17" ht="12.6" customHeight="1" x14ac:dyDescent="0.25">
      <c r="B22" s="13">
        <v>522</v>
      </c>
      <c r="C22" s="7" t="s">
        <v>46</v>
      </c>
      <c r="D22" s="14" t="s">
        <v>22</v>
      </c>
      <c r="E22" s="14" t="s">
        <v>47</v>
      </c>
      <c r="F22" s="14" t="s">
        <v>9</v>
      </c>
      <c r="G22" s="15" t="b">
        <v>0</v>
      </c>
      <c r="H22" s="16">
        <v>3000000</v>
      </c>
      <c r="I22" s="16">
        <v>3000000</v>
      </c>
      <c r="J22" s="16">
        <v>0</v>
      </c>
      <c r="K22" s="17">
        <v>8.3000000000000004E-2</v>
      </c>
      <c r="L22" s="18">
        <v>46054</v>
      </c>
      <c r="M22" s="19">
        <v>46589</v>
      </c>
      <c r="N22" s="20">
        <v>0</v>
      </c>
      <c r="O22" s="20">
        <v>10000000</v>
      </c>
      <c r="P22" s="22">
        <v>0.3</v>
      </c>
      <c r="Q22" s="21">
        <v>1.4647501711156743</v>
      </c>
    </row>
    <row r="23" spans="2:17" ht="12.6" customHeight="1" x14ac:dyDescent="0.25">
      <c r="B23" s="13">
        <v>526</v>
      </c>
      <c r="C23" s="7" t="s">
        <v>20</v>
      </c>
      <c r="D23" s="14" t="s">
        <v>12</v>
      </c>
      <c r="E23" s="14" t="s">
        <v>52</v>
      </c>
      <c r="F23" s="14" t="s">
        <v>53</v>
      </c>
      <c r="G23" s="15" t="b">
        <v>0</v>
      </c>
      <c r="H23" s="16">
        <v>4200000</v>
      </c>
      <c r="I23" s="16">
        <v>4200000</v>
      </c>
      <c r="J23" s="16"/>
      <c r="K23" s="17">
        <v>9.6000000000000002E-2</v>
      </c>
      <c r="L23" s="18">
        <v>46070</v>
      </c>
      <c r="M23" s="19">
        <v>46251</v>
      </c>
      <c r="N23" s="20"/>
      <c r="O23" s="20">
        <v>9500000</v>
      </c>
      <c r="P23" s="22">
        <v>0.44210526315789472</v>
      </c>
      <c r="Q23" s="21">
        <v>0.49555099247091033</v>
      </c>
    </row>
    <row r="24" spans="2:17" ht="12.6" customHeight="1" x14ac:dyDescent="0.25">
      <c r="B24" s="13">
        <v>527</v>
      </c>
      <c r="C24" s="7" t="s">
        <v>50</v>
      </c>
      <c r="D24" s="14" t="s">
        <v>12</v>
      </c>
      <c r="E24" s="14" t="s">
        <v>54</v>
      </c>
      <c r="F24" s="14" t="s">
        <v>53</v>
      </c>
      <c r="G24" s="15" t="b">
        <v>0</v>
      </c>
      <c r="H24" s="16">
        <v>2500000</v>
      </c>
      <c r="I24" s="16">
        <v>2500000</v>
      </c>
      <c r="J24" s="16"/>
      <c r="K24" s="17">
        <v>0.1</v>
      </c>
      <c r="L24" s="18">
        <v>46054</v>
      </c>
      <c r="M24" s="19">
        <v>46388</v>
      </c>
      <c r="N24" s="20"/>
      <c r="O24" s="20">
        <v>4000000</v>
      </c>
      <c r="P24" s="22">
        <v>0.625</v>
      </c>
      <c r="Q24" s="21">
        <v>0.91444216290212188</v>
      </c>
    </row>
    <row r="25" spans="2:17" ht="12.6" customHeight="1" x14ac:dyDescent="0.25">
      <c r="B25" s="1">
        <f>COUNT(B18:B24)</f>
        <v>7</v>
      </c>
      <c r="C25" s="1"/>
      <c r="D25" s="1"/>
      <c r="E25" s="1"/>
      <c r="F25" s="1"/>
      <c r="G25" s="1"/>
      <c r="H25" s="2">
        <f>SUM(H18:H24)</f>
        <v>40600000</v>
      </c>
      <c r="I25" s="2">
        <f>SUM(I18:I24)</f>
        <v>24296509.09</v>
      </c>
      <c r="J25" s="2">
        <f>SUM(J18:J24)</f>
        <v>16303490.91</v>
      </c>
      <c r="K25" s="5">
        <f>SUMPRODUCT($K$18:$K$24,$H$18:$H$24)/H25</f>
        <v>8.4278325123152711E-2</v>
      </c>
      <c r="L25" s="1"/>
      <c r="M25" s="1"/>
      <c r="N25" s="2">
        <f>SUM(N18:N24)</f>
        <v>47000</v>
      </c>
      <c r="O25" s="2">
        <f>SUM(O18:O24)</f>
        <v>75560000</v>
      </c>
      <c r="P25" s="5">
        <f>SUMPRODUCT($P$18:$P$24,$H$18:$H$24)/H25</f>
        <v>0.57362200744029068</v>
      </c>
      <c r="Q25" s="3">
        <f>SUMPRODUCT($Q$18:$Q$24,$H$18:$H$24)/H25</f>
        <v>1.56265868239245</v>
      </c>
    </row>
    <row r="26" spans="2:17" ht="12.6" customHeight="1" x14ac:dyDescent="0.25"/>
    <row r="27" spans="2:17" ht="12.6" customHeight="1" thickBot="1" x14ac:dyDescent="0.3">
      <c r="B27" s="24">
        <f>B25+B15</f>
        <v>18</v>
      </c>
      <c r="C27" s="24"/>
      <c r="D27" s="24"/>
      <c r="E27" s="24"/>
      <c r="F27" s="24"/>
      <c r="G27" s="24"/>
      <c r="H27" s="25">
        <f>SUM(H15:H24)</f>
        <v>126825000</v>
      </c>
      <c r="I27" s="25">
        <f>SUM(I15:I24)</f>
        <v>108715380.94</v>
      </c>
      <c r="J27" s="25">
        <f>SUM(J15:J24)</f>
        <v>18109619.060000002</v>
      </c>
      <c r="K27" s="26">
        <f>SUMPRODUCT($K$15:$K$24,$H$15:$H$24)/H27</f>
        <v>8.1709639266706088E-2</v>
      </c>
      <c r="L27" s="24"/>
      <c r="M27" s="24"/>
      <c r="N27" s="25">
        <f>SUM(N15:N24)</f>
        <v>13694100</v>
      </c>
      <c r="O27" s="25">
        <f>SUM(O15:O24)</f>
        <v>252958480</v>
      </c>
      <c r="P27" s="26">
        <f>SUMPRODUCT($P$15:$P$24,$H$15:$H$24)/H27</f>
        <v>0.53331485575215642</v>
      </c>
      <c r="Q27" s="27">
        <f>SUMPRODUCT($Q$15:$Q$24,$H$15:$H$24)/H27</f>
        <v>2.2528852875330241</v>
      </c>
    </row>
    <row r="28" spans="2:17" ht="12.6" customHeight="1" thickTop="1" x14ac:dyDescent="0.25"/>
    <row r="29" spans="2:17" ht="12.6" customHeight="1" x14ac:dyDescent="0.25"/>
    <row r="30" spans="2:17" ht="12.6" customHeight="1" x14ac:dyDescent="0.25"/>
    <row r="31" spans="2:17" ht="12.6" customHeight="1" x14ac:dyDescent="0.25"/>
    <row r="32" spans="2:17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</sheetData>
  <conditionalFormatting sqref="M4:M14 M18:M24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Create a new document." ma:contentTypeScope="" ma:versionID="2cf9410a106f4db090e978d99ebbc139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16517bf6664d137f190733b849c1436b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BF526-7ACB-4073-B8B1-F44596299C68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8783d4f6-7614-4ae5-9e1a-5e2b0a5ec009"/>
    <ds:schemaRef ds:uri="http://schemas.microsoft.com/office/infopath/2007/PartnerControls"/>
    <ds:schemaRef ds:uri="http://schemas.openxmlformats.org/package/2006/metadata/core-properties"/>
    <ds:schemaRef ds:uri="a91e38dd-2803-4a7e-9f77-b5b453adaa3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5B20F6B-E33A-4502-9D70-564654EE43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A183BB-12BB-4F05-99E1-9138081779D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D04006D-4451-4D00-BD55-F280E2E9A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e38dd-2803-4a7e-9f77-b5b453adaa3a"/>
    <ds:schemaRef ds:uri="8783d4f6-7614-4ae5-9e1a-5e2b0a5ec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Tape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Liew</dc:creator>
  <cp:keywords/>
  <dc:description/>
  <cp:lastModifiedBy>Joel Liew</cp:lastModifiedBy>
  <cp:revision/>
  <dcterms:created xsi:type="dcterms:W3CDTF">2015-06-05T18:17:20Z</dcterms:created>
  <dcterms:modified xsi:type="dcterms:W3CDTF">2026-02-23T17:47:58Z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  <property fmtid="{D5CDD505-2E9C-101B-9397-08002B2CF9AE}" pid="3" name="MediaServiceImageTags">
    <vt:lpwstr/>
  </property>
</Properties>
</file>