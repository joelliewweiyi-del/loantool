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axinvest.sharepoint.com/sites/SharepointSite-RaxFinance/Gedeelde documenten/RED IV/Loan Tape per Maand RED IV/"/>
    </mc:Choice>
  </mc:AlternateContent>
  <xr:revisionPtr revIDLastSave="95" documentId="8_{2B8468C0-5EC8-4876-9D6B-DF0CFF912F33}" xr6:coauthVersionLast="47" xr6:coauthVersionMax="47" xr10:uidLastSave="{D69422A6-779F-4C9D-9E20-F095CC1DA3A1}"/>
  <bookViews>
    <workbookView xWindow="28680" yWindow="-120" windowWidth="29040" windowHeight="15720" xr2:uid="{00000000-000D-0000-FFFF-FFFF00000000}"/>
  </bookViews>
  <sheets>
    <sheet name="Loan Tape" sheetId="4" r:id="rId1"/>
    <sheet name="csv" sheetId="5" r:id="rId2"/>
    <sheet name="mutations" sheetId="6" r:id="rId3"/>
  </sheets>
  <definedNames>
    <definedName name="ExternalData_2" localSheetId="2" hidden="1">mutations!$A$2:$O$6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4" l="1"/>
  <c r="W6" i="6"/>
  <c r="V6" i="6"/>
  <c r="U6" i="6"/>
  <c r="T6" i="6"/>
  <c r="S6" i="6"/>
  <c r="R6" i="6"/>
  <c r="Q6" i="6"/>
  <c r="W5" i="6"/>
  <c r="V5" i="6"/>
  <c r="U5" i="6"/>
  <c r="T5" i="6"/>
  <c r="S5" i="6"/>
  <c r="R5" i="6"/>
  <c r="Q5" i="6"/>
  <c r="W4" i="6"/>
  <c r="V4" i="6"/>
  <c r="U4" i="6"/>
  <c r="T4" i="6"/>
  <c r="S4" i="6"/>
  <c r="R4" i="6"/>
  <c r="Q4" i="6"/>
  <c r="W3" i="6"/>
  <c r="V3" i="6"/>
  <c r="U3" i="6"/>
  <c r="T3" i="6"/>
  <c r="S3" i="6"/>
  <c r="R3" i="6"/>
  <c r="Q3" i="6"/>
  <c r="W2" i="6"/>
  <c r="V2" i="6"/>
  <c r="U2" i="6"/>
  <c r="T2" i="6"/>
  <c r="S2" i="6"/>
  <c r="R2" i="6"/>
  <c r="Q2" i="6"/>
  <c r="U15" i="5" l="1"/>
  <c r="T15" i="5"/>
  <c r="S15" i="5"/>
  <c r="R15" i="5"/>
  <c r="Q15" i="5"/>
  <c r="P15" i="5"/>
  <c r="O15" i="5"/>
  <c r="N15" i="5"/>
  <c r="M15" i="5"/>
  <c r="L15" i="5"/>
  <c r="K15" i="5"/>
  <c r="J15" i="5"/>
  <c r="I15" i="5"/>
  <c r="H15" i="5"/>
  <c r="G15" i="5"/>
  <c r="F15" i="5"/>
  <c r="E15" i="5"/>
  <c r="D15" i="5"/>
  <c r="C15" i="5"/>
  <c r="B15" i="5"/>
  <c r="A15" i="5"/>
  <c r="U14" i="5"/>
  <c r="T14" i="5"/>
  <c r="S14" i="5"/>
  <c r="R14" i="5"/>
  <c r="Q14" i="5"/>
  <c r="P14" i="5"/>
  <c r="O14" i="5"/>
  <c r="N14" i="5"/>
  <c r="M14" i="5"/>
  <c r="L14" i="5"/>
  <c r="K14" i="5"/>
  <c r="J14" i="5"/>
  <c r="I14" i="5"/>
  <c r="H14" i="5"/>
  <c r="G14" i="5"/>
  <c r="F14" i="5"/>
  <c r="E14" i="5"/>
  <c r="D14" i="5"/>
  <c r="C14" i="5"/>
  <c r="B14" i="5"/>
  <c r="A14" i="5"/>
  <c r="A1" i="5"/>
  <c r="B1" i="5"/>
  <c r="C1" i="5"/>
  <c r="D1" i="5"/>
  <c r="E1" i="5"/>
  <c r="F1" i="5"/>
  <c r="K1" i="5"/>
  <c r="N1" i="5"/>
  <c r="O1" i="5"/>
  <c r="P1" i="5"/>
  <c r="Q1" i="5"/>
  <c r="S1" i="5"/>
  <c r="T1" i="5"/>
  <c r="U1" i="5"/>
  <c r="A2" i="5"/>
  <c r="B2" i="5"/>
  <c r="C2" i="5"/>
  <c r="D2" i="5"/>
  <c r="E2" i="5"/>
  <c r="F2" i="5"/>
  <c r="G2" i="5"/>
  <c r="H2" i="5"/>
  <c r="I2" i="5"/>
  <c r="J2" i="5"/>
  <c r="K2" i="5"/>
  <c r="L2" i="5"/>
  <c r="M2" i="5"/>
  <c r="N2" i="5"/>
  <c r="O2" i="5"/>
  <c r="P2" i="5"/>
  <c r="Q2" i="5"/>
  <c r="R2" i="5"/>
  <c r="S2" i="5"/>
  <c r="T2" i="5"/>
  <c r="U2" i="5"/>
  <c r="A3" i="5"/>
  <c r="B3" i="5"/>
  <c r="C3" i="5"/>
  <c r="D3" i="5"/>
  <c r="E3" i="5"/>
  <c r="F3" i="5"/>
  <c r="G3" i="5"/>
  <c r="H3" i="5"/>
  <c r="I3" i="5"/>
  <c r="J3" i="5"/>
  <c r="K3" i="5"/>
  <c r="L3" i="5"/>
  <c r="M3" i="5"/>
  <c r="N3" i="5"/>
  <c r="O3" i="5"/>
  <c r="P3" i="5"/>
  <c r="Q3" i="5"/>
  <c r="R3" i="5"/>
  <c r="S3" i="5"/>
  <c r="T3" i="5"/>
  <c r="U3" i="5"/>
  <c r="A4" i="5"/>
  <c r="B4" i="5"/>
  <c r="C4" i="5"/>
  <c r="D4" i="5"/>
  <c r="E4" i="5"/>
  <c r="F4" i="5"/>
  <c r="G4" i="5"/>
  <c r="H4" i="5"/>
  <c r="I4" i="5"/>
  <c r="J4" i="5"/>
  <c r="K4" i="5"/>
  <c r="L4" i="5"/>
  <c r="M4" i="5"/>
  <c r="N4" i="5"/>
  <c r="O4" i="5"/>
  <c r="P4" i="5"/>
  <c r="Q4" i="5"/>
  <c r="R4" i="5"/>
  <c r="S4" i="5"/>
  <c r="T4" i="5"/>
  <c r="U4" i="5"/>
  <c r="A5" i="5"/>
  <c r="B5" i="5"/>
  <c r="C5" i="5"/>
  <c r="D5" i="5"/>
  <c r="E5" i="5"/>
  <c r="F5" i="5"/>
  <c r="G5" i="5"/>
  <c r="H5" i="5"/>
  <c r="I5" i="5"/>
  <c r="J5" i="5"/>
  <c r="K5" i="5"/>
  <c r="L5" i="5"/>
  <c r="M5" i="5"/>
  <c r="N5" i="5"/>
  <c r="O5" i="5"/>
  <c r="P5" i="5"/>
  <c r="Q5" i="5"/>
  <c r="R5" i="5"/>
  <c r="S5" i="5"/>
  <c r="T5" i="5"/>
  <c r="U5" i="5"/>
  <c r="A6" i="5"/>
  <c r="B6" i="5"/>
  <c r="C6" i="5"/>
  <c r="D6" i="5"/>
  <c r="E6" i="5"/>
  <c r="F6" i="5"/>
  <c r="G6" i="5"/>
  <c r="H6" i="5"/>
  <c r="I6" i="5"/>
  <c r="J6" i="5"/>
  <c r="K6" i="5"/>
  <c r="L6" i="5"/>
  <c r="M6" i="5"/>
  <c r="N6" i="5"/>
  <c r="O6" i="5"/>
  <c r="P6" i="5"/>
  <c r="Q6" i="5"/>
  <c r="R6" i="5"/>
  <c r="S6" i="5"/>
  <c r="T6" i="5"/>
  <c r="U6" i="5"/>
  <c r="A7" i="5"/>
  <c r="B7" i="5"/>
  <c r="C7" i="5"/>
  <c r="D7" i="5"/>
  <c r="E7" i="5"/>
  <c r="F7" i="5"/>
  <c r="G7" i="5"/>
  <c r="H7" i="5"/>
  <c r="I7" i="5"/>
  <c r="J7" i="5"/>
  <c r="K7" i="5"/>
  <c r="L7" i="5"/>
  <c r="M7" i="5"/>
  <c r="N7" i="5"/>
  <c r="O7" i="5"/>
  <c r="P7" i="5"/>
  <c r="Q7" i="5"/>
  <c r="R7" i="5"/>
  <c r="S7" i="5"/>
  <c r="T7" i="5"/>
  <c r="U7" i="5"/>
  <c r="A8" i="5"/>
  <c r="B8" i="5"/>
  <c r="C8" i="5"/>
  <c r="D8" i="5"/>
  <c r="E8" i="5"/>
  <c r="F8" i="5"/>
  <c r="G8" i="5"/>
  <c r="H8" i="5"/>
  <c r="I8" i="5"/>
  <c r="J8" i="5"/>
  <c r="K8" i="5"/>
  <c r="L8" i="5"/>
  <c r="M8" i="5"/>
  <c r="N8" i="5"/>
  <c r="O8" i="5"/>
  <c r="P8" i="5"/>
  <c r="Q8" i="5"/>
  <c r="R8" i="5"/>
  <c r="S8" i="5"/>
  <c r="T8" i="5"/>
  <c r="U8" i="5"/>
  <c r="A9" i="5"/>
  <c r="B9" i="5"/>
  <c r="C9" i="5"/>
  <c r="D9" i="5"/>
  <c r="E9" i="5"/>
  <c r="F9" i="5"/>
  <c r="G9" i="5"/>
  <c r="H9" i="5"/>
  <c r="I9" i="5"/>
  <c r="J9" i="5"/>
  <c r="K9" i="5"/>
  <c r="L9" i="5"/>
  <c r="M9" i="5"/>
  <c r="N9" i="5"/>
  <c r="O9" i="5"/>
  <c r="P9" i="5"/>
  <c r="Q9" i="5"/>
  <c r="R9" i="5"/>
  <c r="S9" i="5"/>
  <c r="T9" i="5"/>
  <c r="U9" i="5"/>
  <c r="A10" i="5"/>
  <c r="B10" i="5"/>
  <c r="C10" i="5"/>
  <c r="D10" i="5"/>
  <c r="E10" i="5"/>
  <c r="F10" i="5"/>
  <c r="G10" i="5"/>
  <c r="H10" i="5"/>
  <c r="I10" i="5"/>
  <c r="J10" i="5"/>
  <c r="K10" i="5"/>
  <c r="L10" i="5"/>
  <c r="M10" i="5"/>
  <c r="N10" i="5"/>
  <c r="O10" i="5"/>
  <c r="P10" i="5"/>
  <c r="Q10" i="5"/>
  <c r="R10" i="5"/>
  <c r="S10" i="5"/>
  <c r="T10" i="5"/>
  <c r="U10" i="5"/>
  <c r="A11" i="5"/>
  <c r="B11" i="5"/>
  <c r="C11" i="5"/>
  <c r="D11" i="5"/>
  <c r="E11" i="5"/>
  <c r="F11" i="5"/>
  <c r="G11" i="5"/>
  <c r="H11" i="5"/>
  <c r="I11" i="5"/>
  <c r="J11" i="5"/>
  <c r="K11" i="5"/>
  <c r="L11" i="5"/>
  <c r="M11" i="5"/>
  <c r="N11" i="5"/>
  <c r="O11" i="5"/>
  <c r="P11" i="5"/>
  <c r="Q11" i="5"/>
  <c r="R11" i="5"/>
  <c r="S11" i="5"/>
  <c r="T11" i="5"/>
  <c r="U11" i="5"/>
  <c r="A12" i="5"/>
  <c r="B12" i="5"/>
  <c r="C12" i="5"/>
  <c r="D12" i="5"/>
  <c r="E12" i="5"/>
  <c r="F12" i="5"/>
  <c r="G12" i="5"/>
  <c r="H12" i="5"/>
  <c r="I12" i="5"/>
  <c r="J12" i="5"/>
  <c r="K12" i="5"/>
  <c r="L12" i="5"/>
  <c r="M12" i="5"/>
  <c r="N12" i="5"/>
  <c r="O12" i="5"/>
  <c r="P12" i="5"/>
  <c r="Q12" i="5"/>
  <c r="R12" i="5"/>
  <c r="S12" i="5"/>
  <c r="T12" i="5"/>
  <c r="U12" i="5"/>
  <c r="A13" i="5"/>
  <c r="B13" i="5"/>
  <c r="C13" i="5"/>
  <c r="D13" i="5"/>
  <c r="E13" i="5"/>
  <c r="F13" i="5"/>
  <c r="G13" i="5"/>
  <c r="H13" i="5"/>
  <c r="I13" i="5"/>
  <c r="J13" i="5"/>
  <c r="K13" i="5"/>
  <c r="L13" i="5"/>
  <c r="M13" i="5"/>
  <c r="N13" i="5"/>
  <c r="O13" i="5"/>
  <c r="P13" i="5"/>
  <c r="Q13" i="5"/>
  <c r="R13" i="5"/>
  <c r="S13" i="5"/>
  <c r="T13" i="5"/>
  <c r="U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00000000-0015-0000-FFFF-FFFF01000000}" keepAlive="1" name="Query - Merge1 (2)" description="Connection to the 'Merge1 (2)' query in the workbook." type="5" refreshedVersion="8" background="1" saveData="1">
    <dbPr connection="Provider=Microsoft.Mashup.OleDb.1;Data Source=$Workbook$;Location=&quot;Merge1 (2)&quot;;Extended Properties=&quot;&quot;" command="SELECT * FROM [Merge1 (2)]"/>
  </connection>
  <connection id="3" xr16:uid="{E4E93C72-633A-46A9-BAC6-5719F432E1F1}" keepAlive="1" name="Query - Merge1 (3)" description="Connection to the 'Merge1 (3)' query in the workbook." type="5" refreshedVersion="8" background="1" saveData="1">
    <dbPr connection="Provider=Microsoft.Mashup.OleDb.1;Data Source=$Workbook$;Location=&quot;Merge1 (3)&quot;;Extended Properties=&quot;&quot;" command="SELECT * FROM [Merge1 (3)]"/>
  </connection>
  <connection id="4" xr16:uid="{00000000-0015-0000-FFFF-FFFF02000000}" keepAlive="1" name="Query - TMO New" description="Connection to the 'TMO New' query in the workbook." type="5" refreshedVersion="0" background="1">
    <dbPr connection="Provider=Microsoft.Mashup.OleDb.1;Data Source=$Workbook$;Location=&quot;TMO New&quot;;Extended Properties=&quot;&quot;" command="SELECT * FROM [TMO New]"/>
  </connection>
  <connection id="5" xr16:uid="{00000000-0015-0000-FFFF-FFFF03000000}" keepAlive="1" name="Query - TMO New (2)" description="Connection to the 'TMO New (2)' query in the workbook." type="5" refreshedVersion="0" background="1">
    <dbPr connection="Provider=Microsoft.Mashup.OleDb.1;Data Source=$Workbook$;Location=&quot;TMO New (2)&quot;;Extended Properties=&quot;&quot;" command="SELECT * FROM [TMO New (2)]"/>
  </connection>
  <connection id="6" xr16:uid="{9EA85FC5-E07D-40DB-8782-A826143DD6D9}" keepAlive="1" name="Query - TMO New (3)" description="Connection to the 'TMO New (3)' query in the workbook." type="5" refreshedVersion="0" background="1">
    <dbPr connection="Provider=Microsoft.Mashup.OleDb.1;Data Source=$Workbook$;Location=&quot;TMO New (3)&quot;;Extended Properties=&quot;&quot;" command="SELECT * FROM [TMO New (3)]"/>
  </connection>
  <connection id="7" xr16:uid="{00000000-0015-0000-FFFF-FFFF04000000}" keepAlive="1" name="Query - TMO Old" description="Connection to the 'TMO Old' query in the workbook." type="5" refreshedVersion="0" background="1">
    <dbPr connection="Provider=Microsoft.Mashup.OleDb.1;Data Source=$Workbook$;Location=&quot;TMO Old&quot;;Extended Properties=&quot;&quot;" command="SELECT * FROM [TMO Old]"/>
  </connection>
  <connection id="8" xr16:uid="{00000000-0015-0000-FFFF-FFFF05000000}" keepAlive="1" name="Query - TMO Old (2)" description="Connection to the 'TMO Old (2)' query in the workbook." type="5" refreshedVersion="0" background="1">
    <dbPr connection="Provider=Microsoft.Mashup.OleDb.1;Data Source=$Workbook$;Location=&quot;TMO Old (2)&quot;;Extended Properties=&quot;&quot;" command="SELECT * FROM [TMO Old (2)]"/>
  </connection>
  <connection id="9" xr16:uid="{C492B22D-5CFE-454D-AD46-7BD621334916}" keepAlive="1" name="Query - TMO Old (3)" description="Connection to the 'TMO Old (3)' query in the workbook." type="5" refreshedVersion="0" background="1">
    <dbPr connection="Provider=Microsoft.Mashup.OleDb.1;Data Source=$Workbook$;Location=&quot;TMO Old (3)&quot;;Extended Properties=&quot;&quot;" command="SELECT * FROM [TMO Old (3)]"/>
  </connection>
</connections>
</file>

<file path=xl/sharedStrings.xml><?xml version="1.0" encoding="utf-8"?>
<sst xmlns="http://schemas.openxmlformats.org/spreadsheetml/2006/main" count="185" uniqueCount="140">
  <si>
    <t>Loan ID</t>
  </si>
  <si>
    <t>City</t>
  </si>
  <si>
    <t>Remarks</t>
  </si>
  <si>
    <t>Total Commitment</t>
  </si>
  <si>
    <t>Outstanding Loan Amount</t>
  </si>
  <si>
    <t>Interest Rate</t>
  </si>
  <si>
    <t>Start Date</t>
  </si>
  <si>
    <t>Rental Income</t>
  </si>
  <si>
    <t>Valuation (as-is)</t>
  </si>
  <si>
    <t>Valuation date</t>
  </si>
  <si>
    <t>LTV</t>
  </si>
  <si>
    <t>Duration</t>
  </si>
  <si>
    <t>Leased</t>
  </si>
  <si>
    <t>Residential</t>
  </si>
  <si>
    <t xml:space="preserve">Light Industrial </t>
  </si>
  <si>
    <t>Retail</t>
  </si>
  <si>
    <t>Redevelopment</t>
  </si>
  <si>
    <t>Category</t>
  </si>
  <si>
    <t>Status</t>
  </si>
  <si>
    <t>Facility</t>
  </si>
  <si>
    <t>Baarn</t>
  </si>
  <si>
    <t>TLFSEP25</t>
  </si>
  <si>
    <t>Den Bosch</t>
  </si>
  <si>
    <t>TLFOKT25</t>
  </si>
  <si>
    <t>Den Dolder</t>
  </si>
  <si>
    <t>Purchase of monumental land estate for redevelopment</t>
  </si>
  <si>
    <t xml:space="preserve">Existing shopping center on ground floor; Refurbishment of vacant upper floors into care apartments </t>
  </si>
  <si>
    <t>Rotterdam</t>
  </si>
  <si>
    <t>Mixed</t>
  </si>
  <si>
    <t>Development</t>
  </si>
  <si>
    <t>Top-up construction facility for completion of apartment complex</t>
  </si>
  <si>
    <t>Photo</t>
  </si>
  <si>
    <t>Additional Information</t>
  </si>
  <si>
    <t>Maturity</t>
  </si>
  <si>
    <t>Undrawn Amount</t>
  </si>
  <si>
    <t>https://i.imgur.com/FcQ7Res.png</t>
  </si>
  <si>
    <t>https://i.imgur.com/0aZbpAD.png</t>
  </si>
  <si>
    <t>https://i.imgur.com/sf08rQy.png</t>
  </si>
  <si>
    <t>https://i.imgur.com/yuPTY3y.png</t>
  </si>
  <si>
    <t>https://i.imgur.com/QE6pVzd.png</t>
  </si>
  <si>
    <t>https://i.imgur.com/LkntWiX.png</t>
  </si>
  <si>
    <t>https://maps.app.goo.gl/oSoxvhLHxdShkkwy6</t>
  </si>
  <si>
    <t>Google Maps</t>
  </si>
  <si>
    <t>https://kadastralekaart.com/kaart/perceel/BAA01/H/2736</t>
  </si>
  <si>
    <t>google_maps</t>
  </si>
  <si>
    <t>Amsterdam</t>
  </si>
  <si>
    <t>https://maps.app.goo.gl/jZDJQvR6hmf9TUFt9</t>
  </si>
  <si>
    <t>https://kadastralekaart.com/kaart/perceel/HTG00/G/6916</t>
  </si>
  <si>
    <t>https://maps.app.goo.gl/XgedgBv4umzfGicT9</t>
  </si>
  <si>
    <t>https://kadastralekaart.com/kaart/perceel/ZEI00/A/4001</t>
  </si>
  <si>
    <t>Financing of the acquisition of an estate in Den Dolder. Purchase price €3.800.000.
This concerns the financing of a country estate consisting of a complex of buildings, a.o. a residual building, office wings, situated on a generous plot of 54,110 m². The total gross floor area amounts to 1,563 m². The estate has NSW-status, which provides favourable tax treatment (no transfer tax). The property is in good condition.
Borrower intends to redevelop the estate, converting the office wing and the main residence into residential units:
•	10 affordable maisonette homes in the office wing (priced up to NHG cap / max. €450,000) – GO 574 m²
•	2 penthouses in former main residence – GO 260 m²
•	2 apartments in former main residence – GO 170 m²
•	Main villa – GO 462 m²
•	Garden/groundskeeper’s house – approx. 100 m²
Loan metrics are strong. Even in the current as-is situation, the loan-to-cost level is responsible at 66% LTC, and the borrower provides a personal guarantee. Overall, this represents a responsible financing for RED IV.</t>
  </si>
  <si>
    <t>https://maps.app.goo.gl/8vhTyidXzgWG7xhE7</t>
  </si>
  <si>
    <t>https://kadastralekaart.com/kaart/perceel/RDK01/H/6686</t>
  </si>
  <si>
    <t xml:space="preserve">Property, shopping centre, consists of 21 retail units and an underground Q-Park garage (140 spaces). Annual rental income €724.000  (excl. €170.000 service charges), WAULT 8.6 years, with HEMA as anchor tenant.
Borrower will convert the former (vacant) library on the first floor into 38 healthcare-residential units (1.180 m²). Permit is irrevocable and all units are pre-leased to one healthcare operator (contract signed). 
We finance the construction, but we hold the first mortgage right over the entire asset. Low leverage: 32% LTV. Borrower is a reputable and experienced real estate developer.
Conclusion: Low-risk loan backed by leased-retail cash flow and a secured, pre-leased healthcare redevelopment.
</t>
  </si>
  <si>
    <t>https://maps.app.goo.gl/FptBuZHcGyUDT5H86</t>
  </si>
  <si>
    <t>https://kadastralekaart.com/kaart/perceel/RTD05/Q/4075</t>
  </si>
  <si>
    <t>Financing of an office building (leasehold) in Rotterdam – Kop van Zuid.
Borrower acquired the asset in 2024 for €2.250.000 (approx. 66% LTC).
The property comprises 1.646 m² GFA (incl. 313 m² basement) and 900 m² usable area, across a basement, ground floor, two upper floors and an attic, on a 945 m² plot. The building is fully leased to a large physiotherapy practice for ~€160,000 p.a.. Lease runs until Oct-2031.
The property has redevelopment potential. Borrower is progressing a hotel redevelopment plan and permit application, aligned with the municipal area vision. Zoning (“Gemengd – 3”) allows residential, office, commercial, social and hotel/hospitality uses. We finance on the as-is value.
Location and future potential enhance marketability. Rental income covers interest (ICR ~1.09) and borrower provides a personal guarantee. Overall, a low-risk financing with secure cash flow, solid collateral and (future) upside from redevelopment. Exit expected via refinancing upon permit approval.</t>
  </si>
  <si>
    <t>https://maps.app.goo.gl/ZC6GoESnvdcv5QAb9</t>
  </si>
  <si>
    <t>https://kadastralekaart.com/kaart/perceel/MDN01/B/2682</t>
  </si>
  <si>
    <t>TLFNOV25A</t>
  </si>
  <si>
    <t>The company requires temporary liquidity to bridge the period until completion of an ongoing refinancing process with a major bank. Several unencumbered assets are available as collateral, mainly residential units (split apartments) in Amsterdam, generating approximately €124,000 gross per year, complemented by three owner-occupied commercial properties. The total portfolio value, including these assets, amounts to roughly €5.44 million, resulting in an LTV between 46–57%. The facility is provided at a conservative level considering the underlying value of the collateral. The vacant value of the residential assets is significantly higher than the current low rental levels.
The portfolio consists of 18 apartments in Amsterdam, two commercial properties in the Western Docklands, two industrial sites in Emmeloord, one apartment in Hilversum, and a recently acquired residential property in Hilversum valued at €1.5 million and situated on 7,100 m² of land. The average loan amount per asset, excluding the Hilversum residence, is around €108,000, with an estimated average value of €235,000. This reflects a prudent financing level given the liquidity and quality of the assets, of which approximately 75% are Amsterdam apartments.
The borrower is financially solid with sufficient cash flow and a long-standing profitable track record. Assets are well-located and easily marketable. The operator has extensive experience in real estate and provides personal recourse. Exit will occur through refinancing once the bank facility is completed. 
Overall, a suitable proposition for RED IV.</t>
  </si>
  <si>
    <t>Office</t>
  </si>
  <si>
    <t>Utrecht</t>
  </si>
  <si>
    <t>Hotel</t>
  </si>
  <si>
    <t>https://maps.app.goo.gl/x385UQeZKvp2qAGQ6</t>
  </si>
  <si>
    <t>https://kadastralekaart.com/kaart/perceel/LWR01/B/5681</t>
  </si>
  <si>
    <t>https://i.imgur.com/CeR2Uvu.png</t>
  </si>
  <si>
    <t>This financing concerns the redevelopment of an office property in Utrecht into a hotel and short-stay apartments. The asset is a former office building for which permits have been obtained to create roughly 40 hotel rooms and around 90 short-stay units, supported by a fixed-price construction contract and a signed operating agreement with an established local operator. The acquisition was previously financed under an earlier vehicle (RED III), which will be refinanced through this construction loan. The risk-bearing capital amounts to roughly 30 percent of the total investment. Construction risks are mitigated through third-party supervision and a cost-overrun guarantee. Operational risk relates mainly to the short-stay component but is supported by conservative assumptions and strong operator performance. Given the acceptable leverage metrics, solid location and clear value-creation strategy, this is considered an appropriate financing for RED IV.</t>
  </si>
  <si>
    <t>TMO New</t>
  </si>
  <si>
    <t>TMO Old</t>
  </si>
  <si>
    <t>Delta</t>
  </si>
  <si>
    <t>Account</t>
  </si>
  <si>
    <t>Principal Balance</t>
  </si>
  <si>
    <t>Original Balance</t>
  </si>
  <si>
    <t>Maturity Date</t>
  </si>
  <si>
    <t>Appraisal Date</t>
  </si>
  <si>
    <t>Aggregate Appraised Value</t>
  </si>
  <si>
    <t>Note Rate</t>
  </si>
  <si>
    <t>Change</t>
  </si>
  <si>
    <t>Account.1</t>
  </si>
  <si>
    <t>Principal Balance.1</t>
  </si>
  <si>
    <t>Original Balance.1</t>
  </si>
  <si>
    <t>Maturity Date.1</t>
  </si>
  <si>
    <t>Appraisal Date.1</t>
  </si>
  <si>
    <t>Aggregate Appraised Value.1</t>
  </si>
  <si>
    <t>Note Rate.1</t>
  </si>
  <si>
    <t>Changed</t>
  </si>
  <si>
    <t>Added</t>
  </si>
  <si>
    <t>Ridderkerk</t>
  </si>
  <si>
    <t>Earmarked</t>
  </si>
  <si>
    <t>Current Facility</t>
  </si>
  <si>
    <t>Initial Facility</t>
  </si>
  <si>
    <t>TLFDECA</t>
  </si>
  <si>
    <t>Commitment</t>
  </si>
  <si>
    <t>Outstanding</t>
  </si>
  <si>
    <t>Undrawn</t>
  </si>
  <si>
    <t>RED IV Start Date</t>
  </si>
  <si>
    <t>Original Start Date</t>
  </si>
  <si>
    <t>Construction financing of a former office asset into hotel and short-stay apartments. Fully permitted</t>
  </si>
  <si>
    <t>RED IV</t>
  </si>
  <si>
    <t>Owner-occupied asset. Borrower is a portco of a large PE firm</t>
  </si>
  <si>
    <t xml:space="preserve">Financing of a light-industrial warehouse in Baarn, near the A1-highway. Consists of 15.358m2 LFA (plot size 15.425m2). The property is in good condition and leased (owner-user) for €900.000 per annum; €59/m2 LFA. ICR 1,22 (based on a net income of €730.000 per annum). 
LTV (61%) is good, but to further guarantee a solid financing position we arranged a €1.000.000 guarantee from the sponsor. Overall, the transaction presents a well-structured and balanced financing facility with appropriate downside protection and a clear exit-optionality.
Loan metrics are good. Overall, this is a responsible loan for RED IV. </t>
  </si>
  <si>
    <t>Prime retail property with strong tenant (HEMA)</t>
  </si>
  <si>
    <t xml:space="preserve">Acquisition financing of an A1-retail asset in Den Bosch (approx. 4.200m2 LFA divided over 5 layers). Borrower bought the property, in a share-transaction, for approx. €10.670.000. We finance €7.000.000 (65% LTV). 
The property’s location is good. The property is leased to HEMA for €780.000 per annum. Recently, an extension of the lease contract has been signed. The new end-date is 01-11-2035, hence limiting vacancy risk during the loan period.  
The borrower is an experienced entrepreneur and real estate investor. The borrower personally guarantees for this loan. 
Loan metrics are good. Overall, this is a responsible loan for RED IV. </t>
  </si>
  <si>
    <t xml:space="preserve">Leased asset to a medical centre.  Possible future redevelopment </t>
  </si>
  <si>
    <t>Muiden</t>
  </si>
  <si>
    <t xml:space="preserve">Fnancing of the  construction of phase 3 of this resi-project (“De Werf bij de Sluis in Muiden”). The construction of phase 2 is almost finished. 
The project consists of high-end apartments located at the Vecht-river, including a sports-harbour.
The borrower is a well-capitalized and professional party with a good track-record in developing. The security comes from the underlying value of the assets which is partly the land position of Phase 3 and the unsold apartments of phase 2. 
Loan metrics are good. Overall, this is a responsible loan for RED IV. </t>
  </si>
  <si>
    <t>Leased,  office asset - multi tenants</t>
  </si>
  <si>
    <t>TLFDECC</t>
  </si>
  <si>
    <t>https://maps.app.goo.gl/bs2Ne8cMyrQArArX7</t>
  </si>
  <si>
    <t>https://kadastralekaart.com/kaart/perceel/HTG00/S/478</t>
  </si>
  <si>
    <t>https://i.imgur.com/Re0YyXC.png</t>
  </si>
  <si>
    <t>This financing concerns the acquisition of a fully leased office property in ’s-Hertogenbosch. The asset consists of three connected towers with a flexible layout, allowing for separation into individual units, and provides approximately 6,300m² LFA with ample parking. The property is modern, recently renovated, energy efficient and generates stable rental income.The WALT of 4.97 years strengthens the income profile, while a €1 million cash-sweep mechanism further mitigates risk by directly linking our exposure to rental performance. Exit risk is limited; supported by strong occupancy (WALT) and a long-term redevelopment potential into healthcare housing as a future upside alternative. While such redevelopment would require substantial work and time — zoning changes and permits — it provides an attractive optionality. Even if redevelopment proves challenging, the property in its current state remains a well-lettable investment product with solid saleability, particularly at the applied financing level.</t>
  </si>
  <si>
    <t>Resi asset with plan to split into smaller units and sale</t>
  </si>
  <si>
    <t>TLFNOV25B</t>
  </si>
  <si>
    <t>https://maps.app.goo.gl/hAtL4DG9LciUpMXdA</t>
  </si>
  <si>
    <t>https://kadastralekaart.com/kaart/perceel/ASD07/K/8669</t>
  </si>
  <si>
    <t>https://i.imgur.com/KmOoASF.jpeg</t>
  </si>
  <si>
    <t>This financing concerns the acquisition of a leased residential property in Amsterdam-Noord (leasehold) consisting of three units with a total GFA of roughly 250–275m². The borrower intends to vacate the units, legally subdivide the property and either sell the apartments individually or renovate further depending on market conditions.  The valuation supports the business plan, with current value around €960.000 and exit potential of €1.500.000–€1.650.000. Key risks relate to liquidity pressure and timing of subdivision, mitigated by an 18-month interest reserve and personal guarantees. Overall, the loan amount is considered acceptable given the vacant-possession potential and marketability.</t>
  </si>
  <si>
    <t>Multi tenant offices. Possible long term redevelopment potential</t>
  </si>
  <si>
    <t>RED III</t>
  </si>
  <si>
    <t>https://maps.app.goo.gl/6aTGsroijrGwSurw7</t>
  </si>
  <si>
    <t>https://kadastralekaart.com/kaart/perceel/UTT00/O/1117</t>
  </si>
  <si>
    <t>https://i.imgur.com/xljbU1O.png</t>
  </si>
  <si>
    <t>This proposal concerns the financing of multiple commercial objects located near the FC Utrecht stadium. In the near future, there are opportunities to redevelop the area, with the possibility to add residential units on top of the existing structures. Borrower wishes to bridge the term to obtain a permit for this redevelopment. Borrower is an SPV with two sponsors: a professional developer with proven track-record and a private investor with healthy financials. There is only limited recourse. Objects are well-maintained and well-rented to cover the interest expenses. WALT is acceptable given the maturity of this loan. LTV based on the as is situation and cash flow are sufficient. The loan is fits well within the terms of RED.</t>
  </si>
  <si>
    <t>Oss</t>
  </si>
  <si>
    <t xml:space="preserve">Partially owner-occupied modern industrial property </t>
  </si>
  <si>
    <t>https://maps.app.goo.gl/2Gw73caiUCVRvPNb6</t>
  </si>
  <si>
    <t>https://kadastralekaart.com/kaart/perceel/OSS00/B/6494</t>
  </si>
  <si>
    <t>https://i.imgur.com/6t0C7AB.png</t>
  </si>
  <si>
    <t>This financing concerns a first-mortgage loan secured on a recently completed, modern industrial property located on a well-accessible business park near the motorway. The asset has an appraised value of approximately €23.5 million and is fully leased, generating around €1.5 million in annual rental income. The financing is provided at a conservative leverage level, with an LTV of roughly 34 percent, offering substantial downside protection. Rental income is diversified between an external logistics tenant under a long-term lease and an owner-occupier. Sponsor commitment is reinforced through significant subordinated capital remaining in the structure. Overall, the combination of strong asset quality, low leverage, stable income and clear exit options results in an attractive, well-secured financing aligned with the investment profile of RAX RED IV.</t>
  </si>
  <si>
    <t>Portfolio of residential, commercial and office assets</t>
  </si>
  <si>
    <t>TLFJANA</t>
  </si>
  <si>
    <t>Zevenaar</t>
  </si>
  <si>
    <t>Fully permitted land for residential development</t>
  </si>
  <si>
    <t>Amsterdam / Almere / Amersfoort</t>
  </si>
  <si>
    <t>Short term Bridge finance of leased resi units in Amsterdam</t>
  </si>
  <si>
    <t>kadastralekaart</t>
  </si>
  <si>
    <t/>
  </si>
  <si>
    <t>Vught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</si>
</sst>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_(* \(#,##0\);_(* &quot;-&quot;??_);_(@_)"/>
    <numFmt numFmtId="165" formatCode="_ * #,##0_ ;_ * \-#,##0_ ;_ * &quot;-&quot;??_ ;_ @_ "/>
    <numFmt numFmtId="166" formatCode="_-* #,##0.00\ _X_D_R_-;\-* #,##0.00\ _X_D_R_-;_-* &quot;-&quot;??\ _X_D_R_-;_-@_-"/>
    <numFmt numFmtId="167" formatCode="_-* #,##0_-;\-* #,##0_-;_-* &quot;-&quot;??_-;_-@_-"/>
    <numFmt numFmtId="168" formatCode="\€#,##0.00"/>
    <numFmt numFmtId="169" formatCode="0.000%"/>
  </numFmts>
  <fonts count="12" x14ac:knownFonts="1">
    <font>
      <sz val="11"/>
      <color theme="1"/>
      <name val="Calibri"/>
      <family val="2"/>
      <scheme val="minor"/>
    </font>
    <font>
      <sz val="11"/>
      <color theme="1"/>
      <name val="Calibri"/>
      <family val="2"/>
      <scheme val="minor"/>
    </font>
    <font>
      <b/>
      <sz val="8"/>
      <color rgb="FF002060"/>
      <name val="Barlow"/>
    </font>
    <font>
      <sz val="12"/>
      <color theme="1"/>
      <name val="Calibri"/>
      <family val="2"/>
      <scheme val="minor"/>
    </font>
    <font>
      <sz val="8"/>
      <color theme="1"/>
      <name val="Barlow"/>
    </font>
    <font>
      <sz val="11"/>
      <name val="Calibri"/>
      <family val="2"/>
    </font>
    <font>
      <sz val="7.5"/>
      <color theme="1" tint="0.249977111117893"/>
      <name val="Barlow"/>
    </font>
    <font>
      <b/>
      <sz val="9"/>
      <color theme="0"/>
      <name val="Barlow"/>
    </font>
    <font>
      <sz val="7.5"/>
      <color theme="2" tint="-0.749992370372631"/>
      <name val="Barlow"/>
    </font>
    <font>
      <sz val="7.5"/>
      <color rgb="FF002060"/>
      <name val="Barlow"/>
    </font>
    <font>
      <b/>
      <sz val="11"/>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rgb="FF1D3E58"/>
        <bgColor indexed="64"/>
      </patternFill>
    </fill>
    <fill>
      <patternFill patternType="solid">
        <fgColor theme="2"/>
        <bgColor indexed="64"/>
      </patternFill>
    </fill>
    <fill>
      <patternFill patternType="solid">
        <fgColor theme="0"/>
        <bgColor indexed="64"/>
      </patternFill>
    </fill>
    <fill>
      <patternFill patternType="solid">
        <fgColor rgb="FFB4E7FC"/>
        <bgColor indexed="64"/>
      </patternFill>
    </fill>
    <fill>
      <patternFill patternType="solid">
        <fgColor theme="9"/>
        <bgColor theme="9"/>
      </patternFill>
    </fill>
    <fill>
      <patternFill patternType="solid">
        <fgColor theme="9" tint="0.79998168889431442"/>
        <bgColor theme="9" tint="0.79998168889431442"/>
      </patternFill>
    </fill>
  </fills>
  <borders count="14">
    <border>
      <left/>
      <right/>
      <top/>
      <bottom/>
      <diagonal/>
    </border>
    <border>
      <left/>
      <right/>
      <top style="thin">
        <color rgb="FF002060"/>
      </top>
      <bottom style="thin">
        <color rgb="FF002060"/>
      </bottom>
      <diagonal/>
    </border>
    <border>
      <left style="thin">
        <color theme="0"/>
      </left>
      <right style="thin">
        <color theme="0"/>
      </right>
      <top/>
      <bottom style="thin">
        <color rgb="FF002060"/>
      </bottom>
      <diagonal/>
    </border>
    <border>
      <left/>
      <right style="thin">
        <color rgb="FFFFFFFF"/>
      </right>
      <top style="thin">
        <color rgb="FF002060"/>
      </top>
      <bottom style="thin">
        <color rgb="FF002060"/>
      </bottom>
      <diagonal/>
    </border>
    <border>
      <left style="thin">
        <color theme="0"/>
      </left>
      <right style="thin">
        <color theme="0"/>
      </right>
      <top style="thin">
        <color rgb="FF002060"/>
      </top>
      <bottom style="thin">
        <color rgb="FF002060"/>
      </bottom>
      <diagonal/>
    </border>
    <border>
      <left/>
      <right/>
      <top/>
      <bottom style="thin">
        <color rgb="FF002060"/>
      </bottom>
      <diagonal/>
    </border>
    <border>
      <left/>
      <right style="thin">
        <color indexed="64"/>
      </right>
      <top/>
      <bottom/>
      <diagonal/>
    </border>
    <border>
      <left style="medium">
        <color indexed="64"/>
      </left>
      <right style="medium">
        <color indexed="64"/>
      </right>
      <top style="medium">
        <color indexed="64"/>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thin">
        <color theme="9" tint="0.39997558519241921"/>
      </left>
      <right/>
      <top style="thin">
        <color theme="9" tint="0.39997558519241921"/>
      </top>
      <bottom style="thin">
        <color theme="9" tint="0.39997558519241921"/>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0" fontId="3" fillId="0" borderId="0"/>
    <xf numFmtId="0" fontId="5" fillId="0" borderId="0"/>
    <xf numFmtId="0" fontId="5" fillId="0" borderId="0"/>
    <xf numFmtId="43" fontId="1" fillId="0" borderId="0" applyFont="0" applyFill="0" applyBorder="0" applyAlignment="0" applyProtection="0"/>
  </cellStyleXfs>
  <cellXfs count="69">
    <xf numFmtId="0" fontId="0" fillId="0" borderId="0" xfId="0"/>
    <xf numFmtId="0" fontId="2" fillId="5" borderId="0" xfId="1" applyNumberFormat="1" applyFont="1" applyFill="1" applyBorder="1" applyAlignment="1">
      <alignment horizontal="center" vertical="center"/>
    </xf>
    <xf numFmtId="165" fontId="2" fillId="5" borderId="0" xfId="1" applyNumberFormat="1" applyFont="1" applyFill="1" applyBorder="1" applyAlignment="1">
      <alignment horizontal="center" vertical="center"/>
    </xf>
    <xf numFmtId="9" fontId="2" fillId="5" borderId="0" xfId="2" applyFont="1" applyFill="1" applyBorder="1" applyAlignment="1">
      <alignment horizontal="center" vertical="center"/>
    </xf>
    <xf numFmtId="166" fontId="2" fillId="5" borderId="0" xfId="1" applyNumberFormat="1" applyFont="1" applyFill="1" applyBorder="1" applyAlignment="1">
      <alignment horizontal="center" vertical="center"/>
    </xf>
    <xf numFmtId="0" fontId="4" fillId="0" borderId="0" xfId="0" applyFont="1"/>
    <xf numFmtId="10" fontId="2" fillId="5" borderId="0" xfId="2" applyNumberFormat="1" applyFont="1" applyFill="1" applyBorder="1" applyAlignment="1">
      <alignment horizontal="right" vertical="center"/>
    </xf>
    <xf numFmtId="0" fontId="4" fillId="0" borderId="0" xfId="0" applyFont="1" applyAlignment="1">
      <alignment wrapText="1"/>
    </xf>
    <xf numFmtId="164" fontId="6" fillId="3" borderId="2" xfId="1" applyNumberFormat="1" applyFont="1" applyFill="1" applyBorder="1" applyAlignment="1">
      <alignment horizontal="left"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right" vertical="center" wrapText="1"/>
    </xf>
    <xf numFmtId="1" fontId="8" fillId="3" borderId="2" xfId="0" applyNumberFormat="1" applyFont="1" applyFill="1" applyBorder="1" applyAlignment="1">
      <alignment horizontal="center" vertical="center"/>
    </xf>
    <xf numFmtId="0" fontId="6" fillId="3" borderId="3" xfId="0" applyFont="1" applyFill="1" applyBorder="1" applyAlignment="1">
      <alignment horizontal="left" vertical="center"/>
    </xf>
    <xf numFmtId="0" fontId="6" fillId="3" borderId="1" xfId="0" applyFont="1" applyFill="1" applyBorder="1" applyAlignment="1">
      <alignment horizontal="left" vertical="center"/>
    </xf>
    <xf numFmtId="165" fontId="9" fillId="4" borderId="4" xfId="1" applyNumberFormat="1" applyFont="1" applyFill="1" applyBorder="1" applyAlignment="1">
      <alignment horizontal="right" vertical="center" indent="5"/>
    </xf>
    <xf numFmtId="10" fontId="9" fillId="4" borderId="2" xfId="2" applyNumberFormat="1" applyFont="1" applyFill="1" applyBorder="1" applyAlignment="1">
      <alignment horizontal="right" vertical="center"/>
    </xf>
    <xf numFmtId="14" fontId="9" fillId="4" borderId="2" xfId="2" applyNumberFormat="1" applyFont="1" applyFill="1" applyBorder="1" applyAlignment="1">
      <alignment horizontal="center" vertical="center"/>
    </xf>
    <xf numFmtId="14" fontId="9" fillId="0" borderId="2" xfId="0" applyNumberFormat="1" applyFont="1" applyBorder="1" applyAlignment="1">
      <alignment horizontal="center" vertical="center"/>
    </xf>
    <xf numFmtId="165" fontId="8" fillId="4" borderId="2" xfId="1" applyNumberFormat="1" applyFont="1" applyFill="1" applyBorder="1" applyAlignment="1">
      <alignment horizontal="right" vertical="center"/>
    </xf>
    <xf numFmtId="14" fontId="8" fillId="4" borderId="2" xfId="1" applyNumberFormat="1" applyFont="1" applyFill="1" applyBorder="1" applyAlignment="1">
      <alignment horizontal="right" vertical="center"/>
    </xf>
    <xf numFmtId="2" fontId="9" fillId="4" borderId="4" xfId="0" applyNumberFormat="1" applyFont="1" applyFill="1" applyBorder="1" applyAlignment="1">
      <alignment horizontal="center" vertical="center"/>
    </xf>
    <xf numFmtId="1" fontId="0" fillId="0" borderId="0" xfId="0" applyNumberFormat="1"/>
    <xf numFmtId="2" fontId="0" fillId="0" borderId="0" xfId="0" applyNumberFormat="1"/>
    <xf numFmtId="14" fontId="0" fillId="0" borderId="0" xfId="0" applyNumberFormat="1"/>
    <xf numFmtId="0" fontId="7" fillId="2" borderId="0" xfId="0" applyFont="1" applyFill="1" applyAlignment="1">
      <alignment horizontal="center" vertical="center"/>
    </xf>
    <xf numFmtId="0" fontId="7" fillId="2" borderId="0" xfId="0" applyFont="1" applyFill="1" applyAlignment="1">
      <alignment horizontal="left" vertical="center"/>
    </xf>
    <xf numFmtId="2" fontId="9" fillId="4" borderId="4" xfId="0" applyNumberFormat="1" applyFont="1" applyFill="1" applyBorder="1" applyAlignment="1">
      <alignment horizontal="left" vertical="center"/>
    </xf>
    <xf numFmtId="166" fontId="2" fillId="5" borderId="0" xfId="1" applyNumberFormat="1" applyFont="1" applyFill="1" applyBorder="1" applyAlignment="1">
      <alignment horizontal="left" vertical="center"/>
    </xf>
    <xf numFmtId="0" fontId="11" fillId="0" borderId="0" xfId="0" applyFont="1"/>
    <xf numFmtId="16" fontId="11" fillId="0" borderId="0" xfId="0" applyNumberFormat="1" applyFont="1"/>
    <xf numFmtId="167" fontId="11" fillId="0" borderId="0" xfId="1" applyNumberFormat="1" applyFont="1"/>
    <xf numFmtId="0" fontId="0" fillId="0" borderId="6" xfId="0" applyBorder="1"/>
    <xf numFmtId="0" fontId="11" fillId="0" borderId="0" xfId="0" applyFont="1" applyAlignment="1">
      <alignment horizontal="center"/>
    </xf>
    <xf numFmtId="167" fontId="11" fillId="0" borderId="0" xfId="1" applyNumberFormat="1" applyFont="1" applyAlignment="1">
      <alignment horizontal="center"/>
    </xf>
    <xf numFmtId="167" fontId="0" fillId="0" borderId="0" xfId="1" applyNumberFormat="1" applyFont="1"/>
    <xf numFmtId="0" fontId="0" fillId="0" borderId="7" xfId="0" applyBorder="1"/>
    <xf numFmtId="0" fontId="10" fillId="6" borderId="8" xfId="0" applyFont="1" applyFill="1" applyBorder="1"/>
    <xf numFmtId="167" fontId="10" fillId="6" borderId="8" xfId="1" applyNumberFormat="1" applyFont="1" applyFill="1" applyBorder="1"/>
    <xf numFmtId="0" fontId="10" fillId="6" borderId="9" xfId="0" applyFont="1" applyFill="1" applyBorder="1"/>
    <xf numFmtId="10" fontId="0" fillId="0" borderId="10" xfId="2" applyNumberFormat="1" applyFont="1" applyBorder="1"/>
    <xf numFmtId="0" fontId="0" fillId="0" borderId="11" xfId="0" applyBorder="1"/>
    <xf numFmtId="0" fontId="0" fillId="0" borderId="12" xfId="0" applyBorder="1" applyAlignment="1">
      <alignment horizontal="right"/>
    </xf>
    <xf numFmtId="10" fontId="0" fillId="0" borderId="0" xfId="2" applyNumberFormat="1" applyFont="1"/>
    <xf numFmtId="0" fontId="0" fillId="7" borderId="13" xfId="0" applyFill="1" applyBorder="1"/>
    <xf numFmtId="167" fontId="0" fillId="7" borderId="8" xfId="1" applyNumberFormat="1" applyFont="1" applyFill="1" applyBorder="1"/>
    <xf numFmtId="14" fontId="0" fillId="7" borderId="8" xfId="0" applyNumberFormat="1" applyFill="1" applyBorder="1"/>
    <xf numFmtId="10" fontId="0" fillId="7" borderId="9" xfId="2" applyNumberFormat="1" applyFont="1" applyFill="1" applyBorder="1"/>
    <xf numFmtId="0" fontId="0" fillId="0" borderId="12" xfId="0" applyBorder="1"/>
    <xf numFmtId="167" fontId="0" fillId="0" borderId="8" xfId="1" applyNumberFormat="1" applyFont="1" applyBorder="1"/>
    <xf numFmtId="10" fontId="0" fillId="0" borderId="9" xfId="2" applyNumberFormat="1" applyFont="1" applyBorder="1"/>
    <xf numFmtId="14" fontId="9" fillId="4" borderId="2" xfId="2" applyNumberFormat="1" applyFont="1" applyFill="1" applyBorder="1" applyAlignment="1">
      <alignment horizontal="right" vertical="center"/>
    </xf>
    <xf numFmtId="10" fontId="8" fillId="4" borderId="4" xfId="2" applyNumberFormat="1" applyFont="1" applyFill="1" applyBorder="1" applyAlignment="1">
      <alignment horizontal="center" vertical="center"/>
    </xf>
    <xf numFmtId="0" fontId="0" fillId="0" borderId="0" xfId="0" applyAlignment="1">
      <alignment horizontal="right" indent="4"/>
    </xf>
    <xf numFmtId="2" fontId="0" fillId="0" borderId="0" xfId="0" applyNumberFormat="1" applyAlignment="1">
      <alignment horizontal="right" indent="4"/>
    </xf>
    <xf numFmtId="166" fontId="4" fillId="0" borderId="0" xfId="0" applyNumberFormat="1" applyFont="1"/>
    <xf numFmtId="165" fontId="4" fillId="0" borderId="0" xfId="0" applyNumberFormat="1" applyFont="1"/>
    <xf numFmtId="1" fontId="8" fillId="3" borderId="0" xfId="0" applyNumberFormat="1" applyFont="1" applyFill="1" applyBorder="1" applyAlignment="1">
      <alignment horizontal="center" vertical="center"/>
    </xf>
    <xf numFmtId="0" fontId="6" fillId="3" borderId="0" xfId="0" applyFont="1" applyFill="1" applyBorder="1" applyAlignment="1">
      <alignment horizontal="left" vertical="center"/>
    </xf>
    <xf numFmtId="165" fontId="9" fillId="4" borderId="0" xfId="1" applyNumberFormat="1" applyFont="1" applyFill="1" applyBorder="1" applyAlignment="1">
      <alignment horizontal="right" vertical="center" indent="5"/>
    </xf>
    <xf numFmtId="14" fontId="9" fillId="4" borderId="0" xfId="2" applyNumberFormat="1" applyFont="1" applyFill="1" applyBorder="1" applyAlignment="1">
      <alignment horizontal="right" vertical="center"/>
    </xf>
    <xf numFmtId="165" fontId="8" fillId="4" borderId="0" xfId="1" applyNumberFormat="1" applyFont="1" applyFill="1" applyBorder="1" applyAlignment="1">
      <alignment horizontal="right" vertical="center"/>
    </xf>
    <xf numFmtId="10" fontId="8" fillId="4" borderId="0" xfId="2" applyNumberFormat="1" applyFont="1" applyFill="1" applyBorder="1" applyAlignment="1">
      <alignment horizontal="center" vertical="center"/>
    </xf>
    <xf numFmtId="2" fontId="9" fillId="4" borderId="0" xfId="0" applyNumberFormat="1" applyFont="1" applyFill="1" applyBorder="1" applyAlignment="1">
      <alignment horizontal="center" vertical="center"/>
    </xf>
    <xf numFmtId="2" fontId="9" fillId="4" borderId="0" xfId="0" applyNumberFormat="1" applyFont="1" applyFill="1" applyBorder="1" applyAlignment="1">
      <alignment horizontal="left" vertical="center"/>
    </xf>
    <xf numFmtId="168" fontId="0" fillId="0" borderId="0" xfId="0" applyNumberFormat="1"/>
    <xf numFmtId="169" fontId="0" fillId="0" borderId="0" xfId="0" applyNumberFormat="1"/>
  </cellXfs>
  <cellStyles count="8">
    <cellStyle name="Comma" xfId="1" builtinId="3"/>
    <cellStyle name="Comma 3" xfId="7" xr:uid="{95F64164-F824-40EE-B6E8-876E918E452C}"/>
    <cellStyle name="Normal" xfId="0" builtinId="0"/>
    <cellStyle name="Normal 2" xfId="4" xr:uid="{37FE8CEF-2076-4F22-9952-7581BB50F0CE}"/>
    <cellStyle name="Normal 3" xfId="5" xr:uid="{D94A2505-F6E0-4975-BB0D-73AA29F3C36E}"/>
    <cellStyle name="Normal 4" xfId="6" xr:uid="{54553DA4-DD22-4CD6-85F2-DAA65ADD133C}"/>
    <cellStyle name="Normal 5" xfId="3" xr:uid="{2629814F-15B7-4F2D-A9DB-A474814572DA}"/>
    <cellStyle name="Percent" xfId="2" builtinId="5"/>
  </cellStyles>
  <dxfs count="16">
    <dxf>
      <font>
        <color rgb="FFFF0000"/>
      </font>
      <fill>
        <patternFill>
          <bgColor rgb="FFFFFF00"/>
        </patternFill>
      </fill>
    </dxf>
    <dxf>
      <fill>
        <patternFill>
          <bgColor rgb="FFFFFF00"/>
        </patternFill>
      </fill>
    </dxf>
    <dxf>
      <font>
        <b val="0"/>
        <i val="0"/>
        <strike val="0"/>
        <condense val="0"/>
        <extend val="0"/>
        <outline val="0"/>
        <shadow val="0"/>
        <u val="none"/>
        <vertAlign val="baseline"/>
        <sz val="11"/>
        <color theme="1"/>
        <name val="Calibri"/>
        <family val="2"/>
        <scheme val="minor"/>
      </font>
      <numFmt numFmtId="14" formatCode="0.00%"/>
    </dxf>
    <dxf>
      <numFmt numFmtId="167" formatCode="_-* #,##0_-;\-* #,##0_-;_-* &quot;-&quot;??_-;_-@_-"/>
    </dxf>
    <dxf>
      <numFmt numFmtId="19" formatCode="dd/mm/yyyy"/>
    </dxf>
    <dxf>
      <numFmt numFmtId="19" formatCode="dd/mm/yyyy"/>
    </dxf>
    <dxf>
      <numFmt numFmtId="167" formatCode="_-* #,##0_-;\-* #,##0_-;_-* &quot;-&quot;??_-;_-@_-"/>
    </dxf>
    <dxf>
      <numFmt numFmtId="167" formatCode="_-* #,##0_-;\-* #,##0_-;_-* &quot;-&quot;??_-;_-@_-"/>
    </dxf>
    <dxf>
      <border diagonalUp="0" diagonalDown="0">
        <left style="medium">
          <color indexed="64"/>
        </left>
        <right/>
        <top/>
        <bottom/>
        <vertical/>
        <horizontal/>
      </border>
    </dxf>
    <dxf>
      <fill>
        <patternFill patternType="none">
          <fgColor indexed="64"/>
          <bgColor indexed="65"/>
        </patternFill>
      </fill>
      <border diagonalUp="0" diagonalDown="0">
        <left style="medium">
          <color indexed="64"/>
        </left>
        <right style="medium">
          <color indexed="64"/>
        </right>
        <top/>
        <bottom/>
        <vertical/>
        <horizontal/>
      </border>
    </dxf>
    <dxf>
      <numFmt numFmtId="14" formatCode="0.00%"/>
      <border diagonalUp="0" diagonalDown="0">
        <left/>
        <right style="medium">
          <color indexed="64"/>
        </right>
        <top/>
        <bottom/>
        <vertical/>
        <horizontal/>
      </border>
    </dxf>
    <dxf>
      <numFmt numFmtId="167" formatCode="_-* #,##0_-;\-* #,##0_-;_-* &quot;-&quot;??_-;_-@_-"/>
    </dxf>
    <dxf>
      <numFmt numFmtId="19" formatCode="dd/mm/yyyy"/>
    </dxf>
    <dxf>
      <numFmt numFmtId="19" formatCode="dd/mm/yyyy"/>
    </dxf>
    <dxf>
      <numFmt numFmtId="167" formatCode="_-* #,##0_-;\-* #,##0_-;_-* &quot;-&quot;??_-;_-@_-"/>
    </dxf>
    <dxf>
      <numFmt numFmtId="167"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565356D-6A92-444C-9A61-99A6A9762F1F}" autoFormatId="16" applyNumberFormats="0" applyBorderFormats="0" applyFontFormats="0" applyPatternFormats="0" applyAlignmentFormats="0" applyWidthHeightFormats="0">
  <queryTableRefresh nextId="105">
    <queryTableFields count="15">
      <queryTableField id="1" name="Account" tableColumnId="1"/>
      <queryTableField id="3" name="Principal Balance" tableColumnId="3"/>
      <queryTableField id="4" name="Original Balance" tableColumnId="4"/>
      <queryTableField id="18" name="Maturity Date" tableColumnId="18"/>
      <queryTableField id="95" name="Appraisal Date" tableColumnId="9"/>
      <queryTableField id="94" name="Aggregate Appraised Value" tableColumnId="5"/>
      <queryTableField id="93" name="Note Rate" tableColumnId="2"/>
      <queryTableField id="78" name="Change" tableColumnId="78"/>
      <queryTableField id="79" name="Account.1" tableColumnId="79"/>
      <queryTableField id="80" name="Principal Balance.1" tableColumnId="80"/>
      <queryTableField id="81" name="Original Balance.1" tableColumnId="81"/>
      <queryTableField id="82" name="Maturity Date.1" tableColumnId="82"/>
      <queryTableField id="87" name="Appraisal Date.1" tableColumnId="6"/>
      <queryTableField id="88" name="Aggregate Appraised Value.1" tableColumnId="7"/>
      <queryTableField id="91" name="Note Rate.1"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96BE3-DC43-4413-96ED-AE9DA2CC8EE8}" name="Merge1" displayName="Merge1" ref="A2:O6" tableType="queryTable" totalsRowShown="0">
  <autoFilter ref="A2:O6" xr:uid="{58F96BE3-DC43-4413-96ED-AE9DA2CC8EE8}"/>
  <tableColumns count="15">
    <tableColumn id="1" xr3:uid="{F1F91B22-B8B8-49DD-840B-B35BBB4CD6C6}" uniqueName="1" name="Account" queryTableFieldId="1"/>
    <tableColumn id="3" xr3:uid="{BF98C6FC-DED1-4BCC-A20B-58B8BDA00536}" uniqueName="3" name="Principal Balance" queryTableFieldId="3" dataDxfId="15" dataCellStyle="Comma"/>
    <tableColumn id="4" xr3:uid="{8BD3A984-50B1-4FFA-B701-521A5E8D4016}" uniqueName="4" name="Original Balance" queryTableFieldId="4" dataDxfId="14" dataCellStyle="Comma"/>
    <tableColumn id="18" xr3:uid="{C20566C5-B28C-4BF7-A35F-1BD9BEEEFD9D}" uniqueName="18" name="Maturity Date" queryTableFieldId="18" dataDxfId="13"/>
    <tableColumn id="9" xr3:uid="{7864EF5C-108D-4639-9F27-E19FAC69A04F}" uniqueName="9" name="Appraisal Date" queryTableFieldId="95" dataDxfId="12"/>
    <tableColumn id="5" xr3:uid="{F50AF650-0123-45B0-8C1D-64056CC5C3E9}" uniqueName="5" name="Aggregate Appraised Value" queryTableFieldId="94" dataDxfId="11" dataCellStyle="Comma"/>
    <tableColumn id="2" xr3:uid="{96E226BF-0460-462F-9422-7B2CF5755CA8}" uniqueName="2" name="Note Rate" queryTableFieldId="93" dataDxfId="10" dataCellStyle="Percent"/>
    <tableColumn id="78" xr3:uid="{9B7D3D1F-4EA3-412D-AE37-60505CD1E3F9}" uniqueName="78" name="Change" queryTableFieldId="78" dataDxfId="9"/>
    <tableColumn id="79" xr3:uid="{EA260142-F2C0-4C74-81CB-1DF1311E331C}" uniqueName="79" name="Account.1" queryTableFieldId="79" dataDxfId="8"/>
    <tableColumn id="80" xr3:uid="{6F4AF440-FEF2-4D2C-90F3-0F8BBCD889DD}" uniqueName="80" name="Principal Balance.1" queryTableFieldId="80" dataDxfId="7" dataCellStyle="Comma"/>
    <tableColumn id="81" xr3:uid="{4E186292-69F7-4C6F-82C4-5CEC77B0C32A}" uniqueName="81" name="Original Balance.1" queryTableFieldId="81" dataDxfId="6" dataCellStyle="Comma"/>
    <tableColumn id="82" xr3:uid="{95860099-3C2F-40B3-A55C-7B694C67DDFB}" uniqueName="82" name="Maturity Date.1" queryTableFieldId="82" dataDxfId="5"/>
    <tableColumn id="6" xr3:uid="{F5122639-8FD8-4218-B30F-9F25E321D725}" uniqueName="6" name="Appraisal Date.1" queryTableFieldId="87" dataDxfId="4"/>
    <tableColumn id="7" xr3:uid="{1C2473AB-1318-434B-BCC8-3C1EA45C7D42}" uniqueName="7" name="Aggregate Appraised Value.1" queryTableFieldId="88" dataDxfId="3" dataCellStyle="Comma"/>
    <tableColumn id="8" xr3:uid="{442BB159-A7D0-4DCF-936B-5F7C2FDF3867}" uniqueName="8" name="Note Rate.1" queryTableFieldId="91" dataDxfId="2"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7D63-9749-46EE-8A5F-4BE1847C3021}">
  <dimension ref="B1:Y65"/>
  <sheetViews>
    <sheetView showGridLines="0" tabSelected="1" zoomScaleNormal="100" workbookViewId="0">
      <selection activeCell="E19" sqref="E19"/>
    </sheetView>
  </sheetViews>
  <sheetFormatPr defaultColWidth="8.7109375" defaultRowHeight="12.6" customHeight="1" zeroHeight="1" x14ac:dyDescent="0.25"/>
  <cols>
    <col min="1" max="1" width="3.42578125" style="5" customWidth="1"/>
    <col min="2" max="2" width="10.28515625" style="5" bestFit="1" customWidth="1"/>
    <col min="3" max="3" width="10" style="5" bestFit="1" customWidth="1"/>
    <col min="4" max="4" width="11.42578125" style="5" bestFit="1" customWidth="1"/>
    <col min="5" max="5" width="71.85546875" style="5" bestFit="1" customWidth="1"/>
    <col min="6" max="6" width="12.28515625" style="5" bestFit="1" customWidth="1"/>
    <col min="7" max="7" width="13.85546875" style="5" bestFit="1" customWidth="1"/>
    <col min="8" max="8" width="20.140625" style="5" bestFit="1" customWidth="1"/>
    <col min="9" max="9" width="18.28515625" style="5" bestFit="1" customWidth="1"/>
    <col min="10" max="10" width="16" style="5" bestFit="1" customWidth="1"/>
    <col min="11" max="12" width="15.42578125" style="5" bestFit="1" customWidth="1"/>
    <col min="13" max="13" width="16.7109375" style="5" bestFit="1" customWidth="1"/>
    <col min="14" max="14" width="21.7109375" style="5" bestFit="1" customWidth="1"/>
    <col min="15" max="15" width="23.7109375" style="5" bestFit="1" customWidth="1"/>
    <col min="16" max="16" width="17.85546875" style="5" bestFit="1" customWidth="1"/>
    <col min="17" max="17" width="18" style="5" bestFit="1" customWidth="1"/>
    <col min="18" max="18" width="20.7109375" style="5" bestFit="1" customWidth="1"/>
    <col min="19" max="19" width="18.28515625" style="5" bestFit="1" customWidth="1"/>
    <col min="20" max="20" width="6.140625" style="5" bestFit="1" customWidth="1"/>
    <col min="21" max="21" width="11.85546875" style="5" bestFit="1" customWidth="1"/>
    <col min="22" max="22" width="34.42578125" style="5" bestFit="1" customWidth="1"/>
    <col min="23" max="23" width="43.7109375" style="5" bestFit="1" customWidth="1"/>
    <col min="24" max="24" width="25.85546875" style="5" bestFit="1" customWidth="1"/>
    <col min="25" max="25" width="255.7109375" style="5" bestFit="1" customWidth="1"/>
    <col min="26" max="16383" width="8.7109375" style="5"/>
    <col min="16384" max="16384" width="10.7109375" style="5" customWidth="1"/>
  </cols>
  <sheetData>
    <row r="1" spans="2:25" ht="12.6" customHeight="1" x14ac:dyDescent="0.25"/>
    <row r="2" spans="2:25" s="7" customFormat="1" ht="20.100000000000001" customHeight="1" x14ac:dyDescent="0.25">
      <c r="B2" s="9" t="s">
        <v>0</v>
      </c>
      <c r="C2" s="10" t="s">
        <v>1</v>
      </c>
      <c r="D2" s="11" t="s">
        <v>18</v>
      </c>
      <c r="E2" s="12" t="s">
        <v>2</v>
      </c>
      <c r="F2" s="12" t="s">
        <v>17</v>
      </c>
      <c r="G2" s="12" t="s">
        <v>89</v>
      </c>
      <c r="H2" s="12" t="s">
        <v>90</v>
      </c>
      <c r="I2" s="12" t="s">
        <v>91</v>
      </c>
      <c r="J2" s="9" t="s">
        <v>93</v>
      </c>
      <c r="K2" s="9" t="s">
        <v>94</v>
      </c>
      <c r="L2" s="9" t="s">
        <v>95</v>
      </c>
      <c r="M2" s="9" t="s">
        <v>5</v>
      </c>
      <c r="N2" s="9" t="s">
        <v>96</v>
      </c>
      <c r="O2" s="9" t="s">
        <v>97</v>
      </c>
      <c r="P2" s="9" t="s">
        <v>74</v>
      </c>
      <c r="Q2" s="9" t="s">
        <v>7</v>
      </c>
      <c r="R2" s="13" t="s">
        <v>8</v>
      </c>
      <c r="S2" s="13" t="s">
        <v>9</v>
      </c>
      <c r="T2" s="9" t="s">
        <v>10</v>
      </c>
      <c r="U2" s="9" t="s">
        <v>11</v>
      </c>
      <c r="V2" s="27" t="s">
        <v>42</v>
      </c>
      <c r="W2" s="27" t="s">
        <v>137</v>
      </c>
      <c r="X2" s="27" t="s">
        <v>31</v>
      </c>
      <c r="Y2" s="28" t="s">
        <v>32</v>
      </c>
    </row>
    <row r="3" spans="2:25" ht="12.6" customHeight="1" x14ac:dyDescent="0.25">
      <c r="B3" s="14">
        <v>484</v>
      </c>
      <c r="C3" s="8" t="s">
        <v>62</v>
      </c>
      <c r="D3" s="15" t="s">
        <v>16</v>
      </c>
      <c r="E3" s="15" t="s">
        <v>98</v>
      </c>
      <c r="F3" s="15" t="s">
        <v>63</v>
      </c>
      <c r="G3" s="16" t="b">
        <v>0</v>
      </c>
      <c r="H3" s="16" t="s">
        <v>99</v>
      </c>
      <c r="I3" s="16" t="s">
        <v>23</v>
      </c>
      <c r="J3" s="17">
        <v>25000000</v>
      </c>
      <c r="K3" s="17">
        <v>8696509.0899999999</v>
      </c>
      <c r="L3" s="17">
        <v>16303490.91</v>
      </c>
      <c r="M3" s="18">
        <v>0.08</v>
      </c>
      <c r="N3" s="53">
        <v>45658</v>
      </c>
      <c r="O3" s="19">
        <v>45992</v>
      </c>
      <c r="P3" s="20">
        <v>46692</v>
      </c>
      <c r="Q3" s="21">
        <v>0</v>
      </c>
      <c r="R3" s="21">
        <v>39300000</v>
      </c>
      <c r="S3" s="22">
        <v>45741</v>
      </c>
      <c r="T3" s="54">
        <v>0.63613231552162852</v>
      </c>
      <c r="U3" s="23">
        <v>1.9164955509924708</v>
      </c>
      <c r="V3" s="23" t="s">
        <v>64</v>
      </c>
      <c r="W3" s="23" t="s">
        <v>65</v>
      </c>
      <c r="X3" s="23" t="s">
        <v>66</v>
      </c>
      <c r="Y3" s="29" t="s">
        <v>67</v>
      </c>
    </row>
    <row r="4" spans="2:25" ht="12.6" customHeight="1" x14ac:dyDescent="0.25">
      <c r="B4" s="14">
        <v>493</v>
      </c>
      <c r="C4" s="8" t="s">
        <v>20</v>
      </c>
      <c r="D4" s="15" t="s">
        <v>12</v>
      </c>
      <c r="E4" s="15" t="s">
        <v>100</v>
      </c>
      <c r="F4" s="15" t="s">
        <v>14</v>
      </c>
      <c r="G4" s="16" t="b">
        <v>1</v>
      </c>
      <c r="H4" s="16" t="s">
        <v>99</v>
      </c>
      <c r="I4" s="16" t="s">
        <v>21</v>
      </c>
      <c r="J4" s="17">
        <v>7500000</v>
      </c>
      <c r="K4" s="17">
        <v>7500000</v>
      </c>
      <c r="L4" s="17">
        <v>0</v>
      </c>
      <c r="M4" s="18">
        <v>0.08</v>
      </c>
      <c r="N4" s="53">
        <v>45658</v>
      </c>
      <c r="O4" s="19">
        <v>45962</v>
      </c>
      <c r="P4" s="20">
        <v>47027</v>
      </c>
      <c r="Q4" s="21">
        <v>900000</v>
      </c>
      <c r="R4" s="21">
        <v>12250000</v>
      </c>
      <c r="S4" s="22">
        <v>45839</v>
      </c>
      <c r="T4" s="54">
        <v>0.61224489795918369</v>
      </c>
      <c r="U4" s="23">
        <v>2.9158110882956878</v>
      </c>
      <c r="V4" s="23" t="s">
        <v>41</v>
      </c>
      <c r="W4" s="23" t="s">
        <v>43</v>
      </c>
      <c r="X4" s="23" t="s">
        <v>35</v>
      </c>
      <c r="Y4" s="29" t="s">
        <v>101</v>
      </c>
    </row>
    <row r="5" spans="2:25" ht="12.6" customHeight="1" x14ac:dyDescent="0.25">
      <c r="B5" s="14">
        <v>504</v>
      </c>
      <c r="C5" s="8" t="s">
        <v>22</v>
      </c>
      <c r="D5" s="15" t="s">
        <v>12</v>
      </c>
      <c r="E5" s="15" t="s">
        <v>102</v>
      </c>
      <c r="F5" s="15" t="s">
        <v>15</v>
      </c>
      <c r="G5" s="16" t="b">
        <v>1</v>
      </c>
      <c r="H5" s="16" t="s">
        <v>99</v>
      </c>
      <c r="I5" s="16" t="s">
        <v>23</v>
      </c>
      <c r="J5" s="17">
        <v>7000000</v>
      </c>
      <c r="K5" s="17">
        <v>7000000</v>
      </c>
      <c r="L5" s="17">
        <v>0</v>
      </c>
      <c r="M5" s="18">
        <v>0.08</v>
      </c>
      <c r="N5" s="53">
        <v>45658</v>
      </c>
      <c r="O5" s="19">
        <v>45962</v>
      </c>
      <c r="P5" s="20">
        <v>47041</v>
      </c>
      <c r="Q5" s="21">
        <v>780100</v>
      </c>
      <c r="R5" s="21">
        <v>10670000</v>
      </c>
      <c r="S5" s="22">
        <v>45859</v>
      </c>
      <c r="T5" s="54">
        <v>0.6560449859418932</v>
      </c>
      <c r="U5" s="23">
        <v>2.9541409993155372</v>
      </c>
      <c r="V5" s="23" t="s">
        <v>46</v>
      </c>
      <c r="W5" s="23" t="s">
        <v>47</v>
      </c>
      <c r="X5" s="23" t="s">
        <v>36</v>
      </c>
      <c r="Y5" s="29" t="s">
        <v>103</v>
      </c>
    </row>
    <row r="6" spans="2:25" ht="12.6" customHeight="1" x14ac:dyDescent="0.25">
      <c r="B6" s="14">
        <v>505</v>
      </c>
      <c r="C6" s="8" t="s">
        <v>24</v>
      </c>
      <c r="D6" s="15" t="s">
        <v>16</v>
      </c>
      <c r="E6" s="15" t="s">
        <v>25</v>
      </c>
      <c r="F6" s="15" t="s">
        <v>13</v>
      </c>
      <c r="G6" s="16" t="b">
        <v>0</v>
      </c>
      <c r="H6" s="16" t="s">
        <v>99</v>
      </c>
      <c r="I6" s="16" t="s">
        <v>21</v>
      </c>
      <c r="J6" s="17">
        <v>2500000</v>
      </c>
      <c r="K6" s="17">
        <v>2500000</v>
      </c>
      <c r="L6" s="17">
        <v>0</v>
      </c>
      <c r="M6" s="18">
        <v>8.7499999999999994E-2</v>
      </c>
      <c r="N6" s="53">
        <v>45658</v>
      </c>
      <c r="O6" s="19">
        <v>45931</v>
      </c>
      <c r="P6" s="20">
        <v>46275</v>
      </c>
      <c r="Q6" s="21">
        <v>0</v>
      </c>
      <c r="R6" s="21">
        <v>3800000</v>
      </c>
      <c r="S6" s="22">
        <v>45901</v>
      </c>
      <c r="T6" s="54">
        <v>0.65789473684210531</v>
      </c>
      <c r="U6" s="23">
        <v>0.94182067077344289</v>
      </c>
      <c r="V6" s="23" t="s">
        <v>48</v>
      </c>
      <c r="W6" s="23" t="s">
        <v>49</v>
      </c>
      <c r="X6" s="23" t="s">
        <v>37</v>
      </c>
      <c r="Y6" s="29" t="s">
        <v>50</v>
      </c>
    </row>
    <row r="7" spans="2:25" ht="12.6" customHeight="1" x14ac:dyDescent="0.25">
      <c r="B7" s="14">
        <v>507</v>
      </c>
      <c r="C7" s="8" t="s">
        <v>88</v>
      </c>
      <c r="D7" s="15" t="s">
        <v>12</v>
      </c>
      <c r="E7" s="15" t="s">
        <v>26</v>
      </c>
      <c r="F7" s="15" t="s">
        <v>15</v>
      </c>
      <c r="G7" s="16" t="b">
        <v>1</v>
      </c>
      <c r="H7" s="16" t="s">
        <v>99</v>
      </c>
      <c r="I7" s="16" t="s">
        <v>23</v>
      </c>
      <c r="J7" s="17">
        <v>6500000</v>
      </c>
      <c r="K7" s="17">
        <v>4693871.8499999996</v>
      </c>
      <c r="L7" s="17">
        <f>J7-K7</f>
        <v>1806128.1500000004</v>
      </c>
      <c r="M7" s="18">
        <v>8.6499999999999994E-2</v>
      </c>
      <c r="N7" s="53">
        <v>45658</v>
      </c>
      <c r="O7" s="19">
        <v>45962</v>
      </c>
      <c r="P7" s="20">
        <v>46478</v>
      </c>
      <c r="Q7" s="21">
        <v>1369000</v>
      </c>
      <c r="R7" s="21">
        <v>20460000</v>
      </c>
      <c r="S7" s="22">
        <v>45820</v>
      </c>
      <c r="T7" s="54">
        <v>0.31769305962854349</v>
      </c>
      <c r="U7" s="23">
        <v>1.4127310061601643</v>
      </c>
      <c r="V7" s="23" t="s">
        <v>51</v>
      </c>
      <c r="W7" s="23" t="s">
        <v>52</v>
      </c>
      <c r="X7" s="23" t="s">
        <v>38</v>
      </c>
      <c r="Y7" s="29" t="s">
        <v>53</v>
      </c>
    </row>
    <row r="8" spans="2:25" ht="12.6" customHeight="1" x14ac:dyDescent="0.25">
      <c r="B8" s="14">
        <v>509</v>
      </c>
      <c r="C8" s="8" t="s">
        <v>27</v>
      </c>
      <c r="D8" s="15" t="s">
        <v>12</v>
      </c>
      <c r="E8" s="15" t="s">
        <v>104</v>
      </c>
      <c r="F8" s="15" t="s">
        <v>28</v>
      </c>
      <c r="G8" s="16" t="b">
        <v>1</v>
      </c>
      <c r="H8" s="16" t="s">
        <v>99</v>
      </c>
      <c r="I8" s="16" t="s">
        <v>23</v>
      </c>
      <c r="J8" s="17">
        <v>1500000</v>
      </c>
      <c r="K8" s="17">
        <v>1500000</v>
      </c>
      <c r="L8" s="17">
        <v>0</v>
      </c>
      <c r="M8" s="18">
        <v>7.7499999999999999E-2</v>
      </c>
      <c r="N8" s="53">
        <v>45658</v>
      </c>
      <c r="O8" s="19">
        <v>45962</v>
      </c>
      <c r="P8" s="20">
        <v>46486</v>
      </c>
      <c r="Q8" s="21">
        <v>160000</v>
      </c>
      <c r="R8" s="21">
        <v>2200000</v>
      </c>
      <c r="S8" s="22">
        <v>45505</v>
      </c>
      <c r="T8" s="54">
        <v>0.68181818181818177</v>
      </c>
      <c r="U8" s="23">
        <v>1.4346338124572211</v>
      </c>
      <c r="V8" s="23" t="s">
        <v>54</v>
      </c>
      <c r="W8" s="23" t="s">
        <v>55</v>
      </c>
      <c r="X8" s="23" t="s">
        <v>39</v>
      </c>
      <c r="Y8" s="29" t="s">
        <v>56</v>
      </c>
    </row>
    <row r="9" spans="2:25" ht="12.6" customHeight="1" x14ac:dyDescent="0.25">
      <c r="B9" s="14">
        <v>510</v>
      </c>
      <c r="C9" s="8" t="s">
        <v>105</v>
      </c>
      <c r="D9" s="15" t="s">
        <v>29</v>
      </c>
      <c r="E9" s="15" t="s">
        <v>30</v>
      </c>
      <c r="F9" s="15" t="s">
        <v>13</v>
      </c>
      <c r="G9" s="16" t="b">
        <v>0</v>
      </c>
      <c r="H9" s="16" t="s">
        <v>99</v>
      </c>
      <c r="I9" s="16" t="s">
        <v>23</v>
      </c>
      <c r="J9" s="17">
        <v>2700000</v>
      </c>
      <c r="K9" s="17">
        <v>2700000</v>
      </c>
      <c r="L9" s="17">
        <v>0</v>
      </c>
      <c r="M9" s="18">
        <v>0.09</v>
      </c>
      <c r="N9" s="53">
        <v>45658</v>
      </c>
      <c r="O9" s="19">
        <v>45931</v>
      </c>
      <c r="P9" s="20">
        <v>46387</v>
      </c>
      <c r="Q9" s="21">
        <v>0</v>
      </c>
      <c r="R9" s="21">
        <v>8000000</v>
      </c>
      <c r="S9" s="22">
        <v>45931</v>
      </c>
      <c r="T9" s="54">
        <v>0.33750000000000002</v>
      </c>
      <c r="U9" s="23">
        <v>1.2484599589322383</v>
      </c>
      <c r="V9" s="23" t="s">
        <v>57</v>
      </c>
      <c r="W9" s="23" t="s">
        <v>58</v>
      </c>
      <c r="X9" s="23" t="s">
        <v>40</v>
      </c>
      <c r="Y9" s="29" t="s">
        <v>106</v>
      </c>
    </row>
    <row r="10" spans="2:25" ht="12.6" customHeight="1" x14ac:dyDescent="0.25">
      <c r="B10" s="14">
        <v>511</v>
      </c>
      <c r="C10" s="8" t="s">
        <v>45</v>
      </c>
      <c r="D10" s="15" t="s">
        <v>12</v>
      </c>
      <c r="E10" s="15" t="s">
        <v>136</v>
      </c>
      <c r="F10" s="15" t="s">
        <v>13</v>
      </c>
      <c r="G10" s="16" t="b">
        <v>1</v>
      </c>
      <c r="H10" s="16" t="s">
        <v>99</v>
      </c>
      <c r="I10" s="16" t="s">
        <v>59</v>
      </c>
      <c r="J10" s="17">
        <v>2500000</v>
      </c>
      <c r="K10" s="17">
        <v>2500000</v>
      </c>
      <c r="L10" s="17">
        <v>0</v>
      </c>
      <c r="M10" s="18">
        <v>0.08</v>
      </c>
      <c r="N10" s="53">
        <v>45658</v>
      </c>
      <c r="O10" s="19">
        <v>45962</v>
      </c>
      <c r="P10" s="20">
        <v>46142</v>
      </c>
      <c r="Q10" s="21">
        <v>124000</v>
      </c>
      <c r="R10" s="21">
        <v>5138480</v>
      </c>
      <c r="S10" s="22">
        <v>45931</v>
      </c>
      <c r="T10" s="54">
        <v>0.48652519811306066</v>
      </c>
      <c r="U10" s="23">
        <v>0.49281314168377821</v>
      </c>
      <c r="V10" s="23"/>
      <c r="W10" s="23"/>
      <c r="X10" s="23"/>
      <c r="Y10" s="29" t="s">
        <v>60</v>
      </c>
    </row>
    <row r="11" spans="2:25" ht="12.6" customHeight="1" x14ac:dyDescent="0.25">
      <c r="B11" s="14">
        <v>513</v>
      </c>
      <c r="C11" s="8" t="s">
        <v>22</v>
      </c>
      <c r="D11" s="15" t="s">
        <v>12</v>
      </c>
      <c r="E11" s="15" t="s">
        <v>107</v>
      </c>
      <c r="F11" s="15" t="s">
        <v>61</v>
      </c>
      <c r="G11" s="16" t="b">
        <v>1</v>
      </c>
      <c r="H11" s="16" t="s">
        <v>99</v>
      </c>
      <c r="I11" s="16" t="s">
        <v>108</v>
      </c>
      <c r="J11" s="17">
        <v>8250000</v>
      </c>
      <c r="K11" s="17">
        <v>8250000</v>
      </c>
      <c r="L11" s="17">
        <v>0</v>
      </c>
      <c r="M11" s="18">
        <v>7.1499999999999994E-2</v>
      </c>
      <c r="N11" s="53">
        <v>45658</v>
      </c>
      <c r="O11" s="19">
        <v>46023</v>
      </c>
      <c r="P11" s="20">
        <v>47105</v>
      </c>
      <c r="Q11" s="21">
        <v>1230000</v>
      </c>
      <c r="R11" s="21">
        <v>13800000</v>
      </c>
      <c r="S11" s="22">
        <v>45951</v>
      </c>
      <c r="T11" s="54">
        <v>0.59782608695652173</v>
      </c>
      <c r="U11" s="23">
        <v>2.9623545516769334</v>
      </c>
      <c r="V11" s="23" t="s">
        <v>109</v>
      </c>
      <c r="W11" s="23" t="s">
        <v>110</v>
      </c>
      <c r="X11" s="23" t="s">
        <v>111</v>
      </c>
      <c r="Y11" s="29" t="s">
        <v>112</v>
      </c>
    </row>
    <row r="12" spans="2:25" ht="12.6" customHeight="1" x14ac:dyDescent="0.25">
      <c r="B12" s="14">
        <v>514</v>
      </c>
      <c r="C12" s="8" t="s">
        <v>45</v>
      </c>
      <c r="D12" s="15" t="s">
        <v>12</v>
      </c>
      <c r="E12" s="15" t="s">
        <v>113</v>
      </c>
      <c r="F12" s="15" t="s">
        <v>13</v>
      </c>
      <c r="G12" s="16" t="b">
        <v>0</v>
      </c>
      <c r="H12" s="16" t="s">
        <v>99</v>
      </c>
      <c r="I12" s="16" t="s">
        <v>114</v>
      </c>
      <c r="J12" s="17">
        <v>700000</v>
      </c>
      <c r="K12" s="17">
        <v>700000</v>
      </c>
      <c r="L12" s="17">
        <v>0</v>
      </c>
      <c r="M12" s="18">
        <v>8.2500000000000004E-2</v>
      </c>
      <c r="N12" s="53">
        <v>45658</v>
      </c>
      <c r="O12" s="19">
        <v>45962</v>
      </c>
      <c r="P12" s="20">
        <v>46507</v>
      </c>
      <c r="Q12" s="21">
        <v>47000</v>
      </c>
      <c r="R12" s="21">
        <v>960000</v>
      </c>
      <c r="S12" s="22">
        <v>45902</v>
      </c>
      <c r="T12" s="54">
        <v>0.72916666666666663</v>
      </c>
      <c r="U12" s="23">
        <v>1.4921286789869952</v>
      </c>
      <c r="V12" s="23" t="s">
        <v>115</v>
      </c>
      <c r="W12" s="23" t="s">
        <v>116</v>
      </c>
      <c r="X12" s="23" t="s">
        <v>117</v>
      </c>
      <c r="Y12" s="29" t="s">
        <v>118</v>
      </c>
    </row>
    <row r="13" spans="2:25" ht="12.6" customHeight="1" x14ac:dyDescent="0.25">
      <c r="B13" s="14">
        <v>515</v>
      </c>
      <c r="C13" s="8" t="s">
        <v>62</v>
      </c>
      <c r="D13" s="15" t="s">
        <v>12</v>
      </c>
      <c r="E13" s="15" t="s">
        <v>119</v>
      </c>
      <c r="F13" s="15" t="s">
        <v>61</v>
      </c>
      <c r="G13" s="16" t="b">
        <v>1</v>
      </c>
      <c r="H13" s="16" t="s">
        <v>99</v>
      </c>
      <c r="I13" s="16" t="s">
        <v>120</v>
      </c>
      <c r="J13" s="17">
        <v>12000000</v>
      </c>
      <c r="K13" s="17">
        <v>12000000</v>
      </c>
      <c r="L13" s="17">
        <v>0</v>
      </c>
      <c r="M13" s="18">
        <v>7.0000000000000007E-2</v>
      </c>
      <c r="N13" s="53">
        <v>45689</v>
      </c>
      <c r="O13" s="19">
        <v>46054</v>
      </c>
      <c r="P13" s="20">
        <v>47114</v>
      </c>
      <c r="Q13" s="21">
        <v>2150000</v>
      </c>
      <c r="R13" s="21">
        <v>20050000</v>
      </c>
      <c r="S13" s="22">
        <v>45231</v>
      </c>
      <c r="T13" s="54">
        <v>0.59850374064837908</v>
      </c>
      <c r="U13" s="23">
        <v>2.9021218343600275</v>
      </c>
      <c r="V13" s="23" t="s">
        <v>121</v>
      </c>
      <c r="W13" s="23" t="s">
        <v>122</v>
      </c>
      <c r="X13" s="23" t="s">
        <v>123</v>
      </c>
      <c r="Y13" s="29" t="s">
        <v>124</v>
      </c>
    </row>
    <row r="14" spans="2:25" ht="12.6" customHeight="1" x14ac:dyDescent="0.25">
      <c r="B14" s="14">
        <v>518</v>
      </c>
      <c r="C14" s="8" t="s">
        <v>135</v>
      </c>
      <c r="D14" s="15" t="s">
        <v>12</v>
      </c>
      <c r="E14" s="15" t="s">
        <v>131</v>
      </c>
      <c r="F14" s="15" t="s">
        <v>28</v>
      </c>
      <c r="G14" s="16" t="b">
        <v>1</v>
      </c>
      <c r="H14" s="16" t="s">
        <v>132</v>
      </c>
      <c r="I14" s="16" t="s">
        <v>132</v>
      </c>
      <c r="J14" s="17">
        <v>5000000</v>
      </c>
      <c r="K14" s="17">
        <v>5000000</v>
      </c>
      <c r="L14" s="17">
        <v>0</v>
      </c>
      <c r="M14" s="18">
        <v>0.09</v>
      </c>
      <c r="N14" s="53"/>
      <c r="O14" s="19">
        <v>46054</v>
      </c>
      <c r="P14" s="20">
        <v>46215</v>
      </c>
      <c r="Q14" s="21">
        <v>867000</v>
      </c>
      <c r="R14" s="21">
        <v>14580000</v>
      </c>
      <c r="S14" s="22">
        <v>46023</v>
      </c>
      <c r="T14" s="54">
        <v>0.34293552812071332</v>
      </c>
      <c r="U14" s="23">
        <v>0.44079397672826831</v>
      </c>
      <c r="V14" s="23">
        <v>0</v>
      </c>
      <c r="W14" s="23">
        <v>0</v>
      </c>
      <c r="X14" s="23">
        <v>0</v>
      </c>
      <c r="Y14" s="29">
        <v>0</v>
      </c>
    </row>
    <row r="15" spans="2:25" ht="12.6" customHeight="1" x14ac:dyDescent="0.25">
      <c r="B15" s="14">
        <v>520</v>
      </c>
      <c r="C15" s="8" t="s">
        <v>125</v>
      </c>
      <c r="D15" s="15" t="s">
        <v>12</v>
      </c>
      <c r="E15" s="15" t="s">
        <v>126</v>
      </c>
      <c r="F15" s="15" t="s">
        <v>14</v>
      </c>
      <c r="G15" s="16" t="b">
        <v>1</v>
      </c>
      <c r="H15" s="16" t="s">
        <v>92</v>
      </c>
      <c r="I15" s="16" t="s">
        <v>92</v>
      </c>
      <c r="J15" s="17">
        <v>8000000</v>
      </c>
      <c r="K15" s="17">
        <v>8000000</v>
      </c>
      <c r="L15" s="17">
        <v>0</v>
      </c>
      <c r="M15" s="18">
        <v>0.08</v>
      </c>
      <c r="N15" s="53">
        <v>45689</v>
      </c>
      <c r="O15" s="19">
        <v>46023</v>
      </c>
      <c r="P15" s="20">
        <v>47106</v>
      </c>
      <c r="Q15" s="21">
        <v>1500000</v>
      </c>
      <c r="R15" s="21">
        <v>23500000</v>
      </c>
      <c r="S15" s="22">
        <v>45953</v>
      </c>
      <c r="T15" s="54">
        <v>0.34042553191489361</v>
      </c>
      <c r="U15" s="23">
        <v>2.9650924024640659</v>
      </c>
      <c r="V15" s="23" t="s">
        <v>127</v>
      </c>
      <c r="W15" s="23" t="s">
        <v>128</v>
      </c>
      <c r="X15" s="23" t="s">
        <v>129</v>
      </c>
      <c r="Y15" s="29" t="s">
        <v>130</v>
      </c>
    </row>
    <row r="16" spans="2:25" ht="12.6" customHeight="1" x14ac:dyDescent="0.25">
      <c r="B16" s="14">
        <v>522</v>
      </c>
      <c r="C16" s="8" t="s">
        <v>133</v>
      </c>
      <c r="D16" s="15" t="s">
        <v>29</v>
      </c>
      <c r="E16" s="15" t="s">
        <v>134</v>
      </c>
      <c r="F16" s="15" t="s">
        <v>13</v>
      </c>
      <c r="G16" s="16" t="b">
        <v>0</v>
      </c>
      <c r="H16" s="16" t="s">
        <v>99</v>
      </c>
      <c r="I16" s="16" t="s">
        <v>99</v>
      </c>
      <c r="J16" s="17">
        <v>3000000</v>
      </c>
      <c r="K16" s="17">
        <v>3000000</v>
      </c>
      <c r="L16" s="17">
        <v>0</v>
      </c>
      <c r="M16" s="18">
        <v>8.3000000000000004E-2</v>
      </c>
      <c r="N16" s="53"/>
      <c r="O16" s="19">
        <v>46054</v>
      </c>
      <c r="P16" s="20">
        <v>46589</v>
      </c>
      <c r="Q16" s="21">
        <v>0</v>
      </c>
      <c r="R16" s="21">
        <v>10000000</v>
      </c>
      <c r="S16" s="22">
        <v>46023</v>
      </c>
      <c r="T16" s="54">
        <v>0.3</v>
      </c>
      <c r="U16" s="23">
        <v>1.4647501711156743</v>
      </c>
      <c r="V16" s="23">
        <v>0</v>
      </c>
      <c r="W16" s="23">
        <v>0</v>
      </c>
      <c r="X16" s="23">
        <v>0</v>
      </c>
      <c r="Y16" s="29">
        <v>0</v>
      </c>
    </row>
    <row r="17" spans="2:25" ht="12.6" customHeight="1" x14ac:dyDescent="0.25">
      <c r="B17" s="59">
        <v>512</v>
      </c>
      <c r="C17" t="s">
        <v>45</v>
      </c>
      <c r="D17" s="60"/>
      <c r="E17" s="60"/>
      <c r="F17" s="60"/>
      <c r="G17" s="60"/>
      <c r="H17" s="60"/>
      <c r="I17" s="60"/>
      <c r="J17" s="67">
        <v>975000</v>
      </c>
      <c r="K17" s="61"/>
      <c r="L17" s="61"/>
      <c r="M17" s="68">
        <v>0.09</v>
      </c>
      <c r="N17" s="62"/>
      <c r="O17" s="26">
        <v>45959</v>
      </c>
      <c r="P17" s="26">
        <v>46324</v>
      </c>
      <c r="Q17" s="63"/>
      <c r="R17" s="67">
        <v>2250000</v>
      </c>
      <c r="S17" s="26">
        <v>45931</v>
      </c>
      <c r="T17" s="64"/>
      <c r="U17" s="65"/>
      <c r="V17" s="65"/>
      <c r="W17" s="65"/>
      <c r="X17" s="65"/>
      <c r="Y17" s="66"/>
    </row>
    <row r="18" spans="2:25" ht="12.6" customHeight="1" x14ac:dyDescent="0.25">
      <c r="B18" s="59">
        <v>526</v>
      </c>
      <c r="C18" t="s">
        <v>138</v>
      </c>
      <c r="D18" s="60"/>
      <c r="E18" s="60"/>
      <c r="F18" s="60"/>
      <c r="G18" s="60"/>
      <c r="H18" s="60"/>
      <c r="I18" s="60"/>
      <c r="J18" s="67">
        <v>4200000</v>
      </c>
      <c r="K18" s="67">
        <v>4200000</v>
      </c>
      <c r="L18" s="61"/>
      <c r="M18" s="68">
        <v>9.6000000000000002E-2</v>
      </c>
      <c r="N18" s="62"/>
      <c r="O18" s="26">
        <v>46070</v>
      </c>
      <c r="P18" s="26">
        <v>46251</v>
      </c>
      <c r="Q18" s="63"/>
      <c r="R18" s="67">
        <v>9500000</v>
      </c>
      <c r="S18" s="26">
        <v>46054</v>
      </c>
      <c r="T18" s="64"/>
      <c r="U18" s="65"/>
      <c r="V18" s="65"/>
      <c r="W18" s="65"/>
      <c r="X18" s="65"/>
      <c r="Y18" s="66"/>
    </row>
    <row r="19" spans="2:25" ht="12.6" customHeight="1" x14ac:dyDescent="0.25">
      <c r="B19" s="59">
        <v>527</v>
      </c>
      <c r="C19" t="s">
        <v>139</v>
      </c>
      <c r="D19" s="60"/>
      <c r="E19" s="60"/>
      <c r="F19" s="60"/>
      <c r="G19" s="60"/>
      <c r="H19" s="60"/>
      <c r="I19" s="60"/>
      <c r="J19" s="67">
        <v>2500000</v>
      </c>
      <c r="K19" s="67">
        <v>2500000</v>
      </c>
      <c r="L19" s="61"/>
      <c r="M19" s="68">
        <v>0.1</v>
      </c>
      <c r="N19" s="62"/>
      <c r="O19" s="26">
        <v>46054</v>
      </c>
      <c r="P19" s="26">
        <v>46388</v>
      </c>
      <c r="Q19" s="63"/>
      <c r="R19" s="67">
        <v>4000000</v>
      </c>
      <c r="S19" s="26">
        <v>46054</v>
      </c>
      <c r="T19" s="64"/>
      <c r="U19" s="65"/>
      <c r="V19" s="65"/>
      <c r="W19" s="65"/>
      <c r="X19" s="65"/>
      <c r="Y19" s="66"/>
    </row>
    <row r="20" spans="2:25" ht="12.6" customHeight="1" x14ac:dyDescent="0.25">
      <c r="B20" s="1">
        <v>14</v>
      </c>
      <c r="C20" s="1"/>
      <c r="D20" s="1"/>
      <c r="E20" s="1"/>
      <c r="F20" s="1"/>
      <c r="G20" s="1"/>
      <c r="H20" s="1"/>
      <c r="I20" s="1"/>
      <c r="J20" s="2">
        <v>92150000</v>
      </c>
      <c r="K20" s="2">
        <v>73523626.079999998</v>
      </c>
      <c r="L20" s="2">
        <v>18626373.920000002</v>
      </c>
      <c r="M20" s="6">
        <v>7.9510309278350511E-2</v>
      </c>
      <c r="N20" s="6"/>
      <c r="O20" s="1"/>
      <c r="P20" s="1"/>
      <c r="Q20" s="2">
        <v>9127100</v>
      </c>
      <c r="R20" s="2">
        <v>184708480</v>
      </c>
      <c r="S20" s="1"/>
      <c r="T20" s="3">
        <v>0.49889425758903977</v>
      </c>
      <c r="U20" s="4">
        <v>2.1636508341494523</v>
      </c>
      <c r="V20" s="4"/>
      <c r="W20" s="4"/>
      <c r="X20" s="4"/>
      <c r="Y20" s="30"/>
    </row>
    <row r="21" spans="2:25" ht="12.6" customHeight="1" x14ac:dyDescent="0.25"/>
    <row r="22" spans="2:25" ht="12.6" customHeight="1" x14ac:dyDescent="0.25"/>
    <row r="23" spans="2:25" ht="12.6" customHeight="1" x14ac:dyDescent="0.25">
      <c r="K23" s="57"/>
    </row>
    <row r="24" spans="2:25" ht="12.6" customHeight="1" x14ac:dyDescent="0.25"/>
    <row r="25" spans="2:25" ht="12.6" customHeight="1" x14ac:dyDescent="0.25"/>
    <row r="26" spans="2:25" ht="12.6" customHeight="1" x14ac:dyDescent="0.25"/>
    <row r="27" spans="2:25" ht="12.6" customHeight="1" x14ac:dyDescent="0.25">
      <c r="K27" s="58"/>
    </row>
    <row r="28" spans="2:25" ht="12.6" customHeight="1" x14ac:dyDescent="0.25"/>
    <row r="29" spans="2:25" ht="12.6" customHeight="1" x14ac:dyDescent="0.25"/>
    <row r="30" spans="2:25" ht="12.6" customHeight="1" x14ac:dyDescent="0.25"/>
    <row r="31" spans="2:25" ht="12.6" customHeight="1" x14ac:dyDescent="0.25"/>
    <row r="32" spans="2:25"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sheetData>
  <conditionalFormatting sqref="P3:P19">
    <cfRule type="cellIs" dxfId="1" priority="1" operator="lessThan">
      <formula>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B849-DD8F-40FB-BAB6-B4DAC190EEE2}">
  <dimension ref="A1:U15"/>
  <sheetViews>
    <sheetView zoomScaleNormal="100" workbookViewId="0">
      <selection activeCell="A16" sqref="A16"/>
    </sheetView>
  </sheetViews>
  <sheetFormatPr defaultColWidth="8.85546875" defaultRowHeight="15" x14ac:dyDescent="0.25"/>
  <cols>
    <col min="2" max="2" width="24.42578125" bestFit="1" customWidth="1"/>
    <col min="3" max="3" width="17.85546875" bestFit="1" customWidth="1"/>
    <col min="4" max="4" width="125" bestFit="1" customWidth="1"/>
    <col min="5" max="5" width="11.28515625" bestFit="1" customWidth="1"/>
    <col min="6" max="6" width="18.140625" customWidth="1"/>
    <col min="8" max="8" width="17.85546875" bestFit="1" customWidth="1"/>
    <col min="9" max="9" width="15.42578125" bestFit="1" customWidth="1"/>
    <col min="10" max="10" width="16.7109375" bestFit="1" customWidth="1"/>
    <col min="11" max="11" width="10.7109375" bestFit="1" customWidth="1"/>
    <col min="12" max="12" width="17.42578125" bestFit="1" customWidth="1"/>
    <col min="13" max="13" width="16.7109375" bestFit="1" customWidth="1"/>
    <col min="14" max="14" width="13.85546875" bestFit="1" customWidth="1"/>
    <col min="15" max="15" width="42.85546875" bestFit="1" customWidth="1"/>
    <col min="16" max="16" width="10.7109375" bestFit="1" customWidth="1"/>
    <col min="17" max="17" width="21.7109375" style="55" bestFit="1" customWidth="1"/>
    <col min="18" max="18" width="43.7109375" bestFit="1" customWidth="1"/>
    <col min="19" max="19" width="54.140625" bestFit="1" customWidth="1"/>
  </cols>
  <sheetData>
    <row r="1" spans="1:21" x14ac:dyDescent="0.25">
      <c r="A1" t="str">
        <f>'Loan Tape'!B2</f>
        <v>Loan ID</v>
      </c>
      <c r="B1" t="str">
        <f>'Loan Tape'!C2</f>
        <v>City</v>
      </c>
      <c r="C1" t="str">
        <f>'Loan Tape'!D2</f>
        <v>Status</v>
      </c>
      <c r="D1" t="str">
        <f>'Loan Tape'!E2</f>
        <v>Remarks</v>
      </c>
      <c r="E1" t="str">
        <f>'Loan Tape'!F2</f>
        <v>Category</v>
      </c>
      <c r="F1" t="str">
        <f>'Loan Tape'!G2</f>
        <v>Earmarked</v>
      </c>
      <c r="G1" t="s">
        <v>19</v>
      </c>
      <c r="H1" t="s">
        <v>3</v>
      </c>
      <c r="I1" t="s">
        <v>4</v>
      </c>
      <c r="J1" t="s">
        <v>34</v>
      </c>
      <c r="K1" t="str">
        <f>'Loan Tape'!M2</f>
        <v>Interest Rate</v>
      </c>
      <c r="L1" t="s">
        <v>6</v>
      </c>
      <c r="M1" t="s">
        <v>33</v>
      </c>
      <c r="N1" t="str">
        <f>'Loan Tape'!Q2</f>
        <v>Rental Income</v>
      </c>
      <c r="O1" t="str">
        <f>'Loan Tape'!R2</f>
        <v>Valuation (as-is)</v>
      </c>
      <c r="P1" t="str">
        <f>'Loan Tape'!T2</f>
        <v>LTV</v>
      </c>
      <c r="Q1" s="55" t="str">
        <f>'Loan Tape'!U2</f>
        <v>Duration</v>
      </c>
      <c r="R1" t="s">
        <v>44</v>
      </c>
      <c r="S1" t="str">
        <f>'Loan Tape'!W2</f>
        <v>kadastralekaart</v>
      </c>
      <c r="T1" t="str">
        <f>'Loan Tape'!X2</f>
        <v>Photo</v>
      </c>
      <c r="U1" t="str">
        <f>'Loan Tape'!Y2</f>
        <v>Additional Information</v>
      </c>
    </row>
    <row r="2" spans="1:21" x14ac:dyDescent="0.25">
      <c r="A2" s="24">
        <f>'Loan Tape'!B3</f>
        <v>484</v>
      </c>
      <c r="B2" t="str">
        <f>'Loan Tape'!C3</f>
        <v>Utrecht</v>
      </c>
      <c r="C2" t="str">
        <f>'Loan Tape'!D3</f>
        <v>Redevelopment</v>
      </c>
      <c r="D2" t="str">
        <f>'Loan Tape'!E3</f>
        <v>Construction financing of a former office asset into hotel and short-stay apartments. Fully permitted</v>
      </c>
      <c r="E2" t="str">
        <f>'Loan Tape'!F3</f>
        <v>Hotel</v>
      </c>
      <c r="F2" t="b">
        <f>'Loan Tape'!G3</f>
        <v>0</v>
      </c>
      <c r="G2" t="str">
        <f>'Loan Tape'!H3</f>
        <v>RED IV</v>
      </c>
      <c r="H2">
        <f>'Loan Tape'!J3</f>
        <v>25000000</v>
      </c>
      <c r="I2">
        <f>'Loan Tape'!K3</f>
        <v>8696509.0899999999</v>
      </c>
      <c r="J2">
        <f>'Loan Tape'!L3</f>
        <v>16303490.91</v>
      </c>
      <c r="K2" s="45">
        <f>'Loan Tape'!M3</f>
        <v>0.08</v>
      </c>
      <c r="L2" s="26">
        <f>'Loan Tape'!O3</f>
        <v>45992</v>
      </c>
      <c r="M2" s="26">
        <f>'Loan Tape'!P3</f>
        <v>46692</v>
      </c>
      <c r="N2">
        <f>'Loan Tape'!Q3</f>
        <v>0</v>
      </c>
      <c r="O2" s="25">
        <f>'Loan Tape'!R3</f>
        <v>39300000</v>
      </c>
      <c r="P2" s="45">
        <f>'Loan Tape'!T3</f>
        <v>0.63613231552162852</v>
      </c>
      <c r="Q2" s="56">
        <f>'Loan Tape'!U3</f>
        <v>1.9164955509924708</v>
      </c>
      <c r="R2" t="str">
        <f>'Loan Tape'!V3</f>
        <v>https://maps.app.goo.gl/x385UQeZKvp2qAGQ6</v>
      </c>
      <c r="S2" t="str">
        <f>'Loan Tape'!W3</f>
        <v>https://kadastralekaart.com/kaart/perceel/LWR01/B/5681</v>
      </c>
      <c r="T2" t="str">
        <f>'Loan Tape'!X3</f>
        <v>https://i.imgur.com/CeR2Uvu.png</v>
      </c>
      <c r="U2" t="str">
        <f>'Loan Tape'!Y3</f>
        <v>This financing concerns the redevelopment of an office property in Utrecht into a hotel and short-stay apartments. The asset is a former office building for which permits have been obtained to create roughly 40 hotel rooms and around 90 short-stay units, supported by a fixed-price construction contract and a signed operating agreement with an established local operator. The acquisition was previously financed under an earlier vehicle (RED III), which will be refinanced through this construction loan. The risk-bearing capital amounts to roughly 30 percent of the total investment. Construction risks are mitigated through third-party supervision and a cost-overrun guarantee. Operational risk relates mainly to the short-stay component but is supported by conservative assumptions and strong operator performance. Given the acceptable leverage metrics, solid location and clear value-creation strategy, this is considered an appropriate financing for RED IV.</v>
      </c>
    </row>
    <row r="3" spans="1:21" x14ac:dyDescent="0.25">
      <c r="A3" s="24">
        <f>'Loan Tape'!B4</f>
        <v>493</v>
      </c>
      <c r="B3" t="str">
        <f>'Loan Tape'!C4</f>
        <v>Baarn</v>
      </c>
      <c r="C3" t="str">
        <f>'Loan Tape'!D4</f>
        <v>Leased</v>
      </c>
      <c r="D3" t="str">
        <f>'Loan Tape'!E4</f>
        <v>Owner-occupied asset. Borrower is a portco of a large PE firm</v>
      </c>
      <c r="E3" t="str">
        <f>'Loan Tape'!F4</f>
        <v xml:space="preserve">Light Industrial </v>
      </c>
      <c r="F3" t="b">
        <f>'Loan Tape'!G4</f>
        <v>1</v>
      </c>
      <c r="G3" t="str">
        <f>'Loan Tape'!H4</f>
        <v>RED IV</v>
      </c>
      <c r="H3">
        <f>'Loan Tape'!J4</f>
        <v>7500000</v>
      </c>
      <c r="I3">
        <f>'Loan Tape'!K4</f>
        <v>7500000</v>
      </c>
      <c r="J3">
        <f>'Loan Tape'!L4</f>
        <v>0</v>
      </c>
      <c r="K3" s="45">
        <f>'Loan Tape'!M4</f>
        <v>0.08</v>
      </c>
      <c r="L3" s="26">
        <f>'Loan Tape'!O4</f>
        <v>45962</v>
      </c>
      <c r="M3" s="26">
        <f>'Loan Tape'!P4</f>
        <v>47027</v>
      </c>
      <c r="N3">
        <f>'Loan Tape'!Q4</f>
        <v>900000</v>
      </c>
      <c r="O3" s="25">
        <f>'Loan Tape'!R4</f>
        <v>12250000</v>
      </c>
      <c r="P3" s="45">
        <f>'Loan Tape'!T4</f>
        <v>0.61224489795918369</v>
      </c>
      <c r="Q3" s="56">
        <f>'Loan Tape'!U4</f>
        <v>2.9158110882956878</v>
      </c>
      <c r="R3" t="str">
        <f>'Loan Tape'!V4</f>
        <v>https://maps.app.goo.gl/oSoxvhLHxdShkkwy6</v>
      </c>
      <c r="S3" t="str">
        <f>'Loan Tape'!W4</f>
        <v>https://kadastralekaart.com/kaart/perceel/BAA01/H/2736</v>
      </c>
      <c r="T3" t="str">
        <f>'Loan Tape'!X4</f>
        <v>https://i.imgur.com/FcQ7Res.png</v>
      </c>
      <c r="U3" t="str">
        <f>'Loan Tape'!Y4</f>
        <v xml:space="preserve">Financing of a light-industrial warehouse in Baarn, near the A1-highway. Consists of 15.358m2 LFA (plot size 15.425m2). The property is in good condition and leased (owner-user) for €900.000 per annum; €59/m2 LFA. ICR 1,22 (based on a net income of €730.000 per annum). 
LTV (61%) is good, but to further guarantee a solid financing position we arranged a €1.000.000 guarantee from the sponsor. Overall, the transaction presents a well-structured and balanced financing facility with appropriate downside protection and a clear exit-optionality.
Loan metrics are good. Overall, this is a responsible loan for RED IV. </v>
      </c>
    </row>
    <row r="4" spans="1:21" x14ac:dyDescent="0.25">
      <c r="A4" s="24">
        <f>'Loan Tape'!B5</f>
        <v>504</v>
      </c>
      <c r="B4" t="str">
        <f>'Loan Tape'!C5</f>
        <v>Den Bosch</v>
      </c>
      <c r="C4" t="str">
        <f>'Loan Tape'!D5</f>
        <v>Leased</v>
      </c>
      <c r="D4" t="str">
        <f>'Loan Tape'!E5</f>
        <v>Prime retail property with strong tenant (HEMA)</v>
      </c>
      <c r="E4" t="str">
        <f>'Loan Tape'!F5</f>
        <v>Retail</v>
      </c>
      <c r="F4" t="b">
        <f>'Loan Tape'!G5</f>
        <v>1</v>
      </c>
      <c r="G4" t="str">
        <f>'Loan Tape'!H5</f>
        <v>RED IV</v>
      </c>
      <c r="H4">
        <f>'Loan Tape'!J5</f>
        <v>7000000</v>
      </c>
      <c r="I4">
        <f>'Loan Tape'!K5</f>
        <v>7000000</v>
      </c>
      <c r="J4">
        <f>'Loan Tape'!L5</f>
        <v>0</v>
      </c>
      <c r="K4" s="45">
        <f>'Loan Tape'!M5</f>
        <v>0.08</v>
      </c>
      <c r="L4" s="26">
        <f>'Loan Tape'!O5</f>
        <v>45962</v>
      </c>
      <c r="M4" s="26">
        <f>'Loan Tape'!P5</f>
        <v>47041</v>
      </c>
      <c r="N4">
        <f>'Loan Tape'!Q5</f>
        <v>780100</v>
      </c>
      <c r="O4" s="25">
        <f>'Loan Tape'!R5</f>
        <v>10670000</v>
      </c>
      <c r="P4" s="45">
        <f>'Loan Tape'!T5</f>
        <v>0.6560449859418932</v>
      </c>
      <c r="Q4" s="56">
        <f>'Loan Tape'!U5</f>
        <v>2.9541409993155372</v>
      </c>
      <c r="R4" t="str">
        <f>'Loan Tape'!V5</f>
        <v>https://maps.app.goo.gl/jZDJQvR6hmf9TUFt9</v>
      </c>
      <c r="S4" t="str">
        <f>'Loan Tape'!W5</f>
        <v>https://kadastralekaart.com/kaart/perceel/HTG00/G/6916</v>
      </c>
      <c r="T4" t="str">
        <f>'Loan Tape'!X5</f>
        <v>https://i.imgur.com/0aZbpAD.png</v>
      </c>
      <c r="U4" t="str">
        <f>'Loan Tape'!Y5</f>
        <v xml:space="preserve">Acquisition financing of an A1-retail asset in Den Bosch (approx. 4.200m2 LFA divided over 5 layers). Borrower bought the property, in a share-transaction, for approx. €10.670.000. We finance €7.000.000 (65% LTV). 
The property’s location is good. The property is leased to HEMA for €780.000 per annum. Recently, an extension of the lease contract has been signed. The new end-date is 01-11-2035, hence limiting vacancy risk during the loan period.  
The borrower is an experienced entrepreneur and real estate investor. The borrower personally guarantees for this loan. 
Loan metrics are good. Overall, this is a responsible loan for RED IV. </v>
      </c>
    </row>
    <row r="5" spans="1:21" x14ac:dyDescent="0.25">
      <c r="A5" s="24">
        <f>'Loan Tape'!B6</f>
        <v>505</v>
      </c>
      <c r="B5" t="str">
        <f>'Loan Tape'!C6</f>
        <v>Den Dolder</v>
      </c>
      <c r="C5" t="str">
        <f>'Loan Tape'!D6</f>
        <v>Redevelopment</v>
      </c>
      <c r="D5" t="str">
        <f>'Loan Tape'!E6</f>
        <v>Purchase of monumental land estate for redevelopment</v>
      </c>
      <c r="E5" t="str">
        <f>'Loan Tape'!F6</f>
        <v>Residential</v>
      </c>
      <c r="F5" t="b">
        <f>'Loan Tape'!G6</f>
        <v>0</v>
      </c>
      <c r="G5" t="str">
        <f>'Loan Tape'!H6</f>
        <v>RED IV</v>
      </c>
      <c r="H5">
        <f>'Loan Tape'!J6</f>
        <v>2500000</v>
      </c>
      <c r="I5">
        <f>'Loan Tape'!K6</f>
        <v>2500000</v>
      </c>
      <c r="J5">
        <f>'Loan Tape'!L6</f>
        <v>0</v>
      </c>
      <c r="K5" s="45">
        <f>'Loan Tape'!M6</f>
        <v>8.7499999999999994E-2</v>
      </c>
      <c r="L5" s="26">
        <f>'Loan Tape'!O6</f>
        <v>45931</v>
      </c>
      <c r="M5" s="26">
        <f>'Loan Tape'!P6</f>
        <v>46275</v>
      </c>
      <c r="N5">
        <f>'Loan Tape'!Q6</f>
        <v>0</v>
      </c>
      <c r="O5" s="25">
        <f>'Loan Tape'!R6</f>
        <v>3800000</v>
      </c>
      <c r="P5" s="45">
        <f>'Loan Tape'!T6</f>
        <v>0.65789473684210531</v>
      </c>
      <c r="Q5" s="56">
        <f>'Loan Tape'!U6</f>
        <v>0.94182067077344289</v>
      </c>
      <c r="R5" t="str">
        <f>'Loan Tape'!V6</f>
        <v>https://maps.app.goo.gl/XgedgBv4umzfGicT9</v>
      </c>
      <c r="S5" t="str">
        <f>'Loan Tape'!W6</f>
        <v>https://kadastralekaart.com/kaart/perceel/ZEI00/A/4001</v>
      </c>
      <c r="T5" t="str">
        <f>'Loan Tape'!X6</f>
        <v>https://i.imgur.com/sf08rQy.png</v>
      </c>
      <c r="U5" t="str">
        <f>'Loan Tape'!Y6</f>
        <v>Financing of the acquisition of an estate in Den Dolder. Purchase price €3.800.000.
This concerns the financing of a country estate consisting of a complex of buildings, a.o. a residual building, office wings, situated on a generous plot of 54,110 m². The total gross floor area amounts to 1,563 m². The estate has NSW-status, which provides favourable tax treatment (no transfer tax). The property is in good condition.
Borrower intends to redevelop the estate, converting the office wing and the main residence into residential units:
•	10 affordable maisonette homes in the office wing (priced up to NHG cap / max. €450,000) – GO 574 m²
•	2 penthouses in former main residence – GO 260 m²
•	2 apartments in former main residence – GO 170 m²
•	Main villa – GO 462 m²
•	Garden/groundskeeper’s house – approx. 100 m²
Loan metrics are strong. Even in the current as-is situation, the loan-to-cost level is responsible at 66% LTC, and the borrower provides a personal guarantee. Overall, this represents a responsible financing for RED IV.</v>
      </c>
    </row>
    <row r="6" spans="1:21" x14ac:dyDescent="0.25">
      <c r="A6" s="24">
        <f>'Loan Tape'!B7</f>
        <v>507</v>
      </c>
      <c r="B6" t="str">
        <f>'Loan Tape'!C7</f>
        <v>Ridderkerk</v>
      </c>
      <c r="C6" t="str">
        <f>'Loan Tape'!D7</f>
        <v>Leased</v>
      </c>
      <c r="D6" t="str">
        <f>'Loan Tape'!E7</f>
        <v xml:space="preserve">Existing shopping center on ground floor; Refurbishment of vacant upper floors into care apartments </v>
      </c>
      <c r="E6" t="str">
        <f>'Loan Tape'!F7</f>
        <v>Retail</v>
      </c>
      <c r="F6" t="b">
        <f>'Loan Tape'!G7</f>
        <v>1</v>
      </c>
      <c r="G6" t="str">
        <f>'Loan Tape'!H7</f>
        <v>RED IV</v>
      </c>
      <c r="H6">
        <f>'Loan Tape'!J7</f>
        <v>6500000</v>
      </c>
      <c r="I6">
        <f>'Loan Tape'!K7</f>
        <v>4693871.8499999996</v>
      </c>
      <c r="J6">
        <f>'Loan Tape'!L7</f>
        <v>1806128.1500000004</v>
      </c>
      <c r="K6" s="45">
        <f>'Loan Tape'!M7</f>
        <v>8.6499999999999994E-2</v>
      </c>
      <c r="L6" s="26">
        <f>'Loan Tape'!O7</f>
        <v>45962</v>
      </c>
      <c r="M6" s="26">
        <f>'Loan Tape'!P7</f>
        <v>46478</v>
      </c>
      <c r="N6">
        <f>'Loan Tape'!Q7</f>
        <v>1369000</v>
      </c>
      <c r="O6" s="25">
        <f>'Loan Tape'!R7</f>
        <v>20460000</v>
      </c>
      <c r="P6" s="45">
        <f>'Loan Tape'!T7</f>
        <v>0.31769305962854349</v>
      </c>
      <c r="Q6" s="56">
        <f>'Loan Tape'!U7</f>
        <v>1.4127310061601643</v>
      </c>
      <c r="R6" t="str">
        <f>'Loan Tape'!V7</f>
        <v>https://maps.app.goo.gl/8vhTyidXzgWG7xhE7</v>
      </c>
      <c r="S6" t="str">
        <f>'Loan Tape'!W7</f>
        <v>https://kadastralekaart.com/kaart/perceel/RDK01/H/6686</v>
      </c>
      <c r="T6" t="str">
        <f>'Loan Tape'!X7</f>
        <v>https://i.imgur.com/yuPTY3y.png</v>
      </c>
      <c r="U6" t="str">
        <f>'Loan Tape'!Y7</f>
        <v xml:space="preserve">Property, shopping centre, consists of 21 retail units and an underground Q-Park garage (140 spaces). Annual rental income €724.000  (excl. €170.000 service charges), WAULT 8.6 years, with HEMA as anchor tenant.
Borrower will convert the former (vacant) library on the first floor into 38 healthcare-residential units (1.180 m²). Permit is irrevocable and all units are pre-leased to one healthcare operator (contract signed). 
We finance the construction, but we hold the first mortgage right over the entire asset. Low leverage: 32% LTV. Borrower is a reputable and experienced real estate developer.
Conclusion: Low-risk loan backed by leased-retail cash flow and a secured, pre-leased healthcare redevelopment.
</v>
      </c>
    </row>
    <row r="7" spans="1:21" x14ac:dyDescent="0.25">
      <c r="A7" s="24">
        <f>'Loan Tape'!B8</f>
        <v>509</v>
      </c>
      <c r="B7" t="str">
        <f>'Loan Tape'!C8</f>
        <v>Rotterdam</v>
      </c>
      <c r="C7" t="str">
        <f>'Loan Tape'!D8</f>
        <v>Leased</v>
      </c>
      <c r="D7" t="str">
        <f>'Loan Tape'!E8</f>
        <v xml:space="preserve">Leased asset to a medical centre.  Possible future redevelopment </v>
      </c>
      <c r="E7" t="str">
        <f>'Loan Tape'!F8</f>
        <v>Mixed</v>
      </c>
      <c r="F7" t="b">
        <f>'Loan Tape'!G8</f>
        <v>1</v>
      </c>
      <c r="G7" t="str">
        <f>'Loan Tape'!H8</f>
        <v>RED IV</v>
      </c>
      <c r="H7">
        <f>'Loan Tape'!J8</f>
        <v>1500000</v>
      </c>
      <c r="I7">
        <f>'Loan Tape'!K8</f>
        <v>1500000</v>
      </c>
      <c r="J7">
        <f>'Loan Tape'!L8</f>
        <v>0</v>
      </c>
      <c r="K7" s="45">
        <f>'Loan Tape'!M8</f>
        <v>7.7499999999999999E-2</v>
      </c>
      <c r="L7" s="26">
        <f>'Loan Tape'!O8</f>
        <v>45962</v>
      </c>
      <c r="M7" s="26">
        <f>'Loan Tape'!P8</f>
        <v>46486</v>
      </c>
      <c r="N7">
        <f>'Loan Tape'!Q8</f>
        <v>160000</v>
      </c>
      <c r="O7" s="25">
        <f>'Loan Tape'!R8</f>
        <v>2200000</v>
      </c>
      <c r="P7" s="45">
        <f>'Loan Tape'!T8</f>
        <v>0.68181818181818177</v>
      </c>
      <c r="Q7" s="56">
        <f>'Loan Tape'!U8</f>
        <v>1.4346338124572211</v>
      </c>
      <c r="R7" t="str">
        <f>'Loan Tape'!V8</f>
        <v>https://maps.app.goo.gl/FptBuZHcGyUDT5H86</v>
      </c>
      <c r="S7" t="str">
        <f>'Loan Tape'!W8</f>
        <v>https://kadastralekaart.com/kaart/perceel/RTD05/Q/4075</v>
      </c>
      <c r="T7" t="str">
        <f>'Loan Tape'!X8</f>
        <v>https://i.imgur.com/QE6pVzd.png</v>
      </c>
      <c r="U7" t="str">
        <f>'Loan Tape'!Y8</f>
        <v>Financing of an office building (leasehold) in Rotterdam – Kop van Zuid.
Borrower acquired the asset in 2024 for €2.250.000 (approx. 66% LTC).
The property comprises 1.646 m² GFA (incl. 313 m² basement) and 900 m² usable area, across a basement, ground floor, two upper floors and an attic, on a 945 m² plot. The building is fully leased to a large physiotherapy practice for ~€160,000 p.a.. Lease runs until Oct-2031.
The property has redevelopment potential. Borrower is progressing a hotel redevelopment plan and permit application, aligned with the municipal area vision. Zoning (“Gemengd – 3”) allows residential, office, commercial, social and hotel/hospitality uses. We finance on the as-is value.
Location and future potential enhance marketability. Rental income covers interest (ICR ~1.09) and borrower provides a personal guarantee. Overall, a low-risk financing with secure cash flow, solid collateral and (future) upside from redevelopment. Exit expected via refinancing upon permit approval.</v>
      </c>
    </row>
    <row r="8" spans="1:21" x14ac:dyDescent="0.25">
      <c r="A8" s="24">
        <f>'Loan Tape'!B9</f>
        <v>510</v>
      </c>
      <c r="B8" t="str">
        <f>'Loan Tape'!C9</f>
        <v>Muiden</v>
      </c>
      <c r="C8" t="str">
        <f>'Loan Tape'!D9</f>
        <v>Development</v>
      </c>
      <c r="D8" t="str">
        <f>'Loan Tape'!E9</f>
        <v>Top-up construction facility for completion of apartment complex</v>
      </c>
      <c r="E8" t="str">
        <f>'Loan Tape'!F9</f>
        <v>Residential</v>
      </c>
      <c r="F8" t="b">
        <f>'Loan Tape'!G9</f>
        <v>0</v>
      </c>
      <c r="G8" t="str">
        <f>'Loan Tape'!H9</f>
        <v>RED IV</v>
      </c>
      <c r="H8">
        <f>'Loan Tape'!J9</f>
        <v>2700000</v>
      </c>
      <c r="I8">
        <f>'Loan Tape'!K9</f>
        <v>2700000</v>
      </c>
      <c r="J8">
        <f>'Loan Tape'!L9</f>
        <v>0</v>
      </c>
      <c r="K8" s="45">
        <f>'Loan Tape'!M9</f>
        <v>0.09</v>
      </c>
      <c r="L8" s="26">
        <f>'Loan Tape'!O9</f>
        <v>45931</v>
      </c>
      <c r="M8" s="26">
        <f>'Loan Tape'!P9</f>
        <v>46387</v>
      </c>
      <c r="N8">
        <f>'Loan Tape'!Q9</f>
        <v>0</v>
      </c>
      <c r="O8" s="25">
        <f>'Loan Tape'!R9</f>
        <v>8000000</v>
      </c>
      <c r="P8" s="45">
        <f>'Loan Tape'!T9</f>
        <v>0.33750000000000002</v>
      </c>
      <c r="Q8" s="56">
        <f>'Loan Tape'!U9</f>
        <v>1.2484599589322383</v>
      </c>
      <c r="R8" t="str">
        <f>'Loan Tape'!V9</f>
        <v>https://maps.app.goo.gl/ZC6GoESnvdcv5QAb9</v>
      </c>
      <c r="S8" t="str">
        <f>'Loan Tape'!W9</f>
        <v>https://kadastralekaart.com/kaart/perceel/MDN01/B/2682</v>
      </c>
      <c r="T8" t="str">
        <f>'Loan Tape'!X9</f>
        <v>https://i.imgur.com/LkntWiX.png</v>
      </c>
      <c r="U8" t="str">
        <f>'Loan Tape'!Y9</f>
        <v xml:space="preserve">Fnancing of the  construction of phase 3 of this resi-project (“De Werf bij de Sluis in Muiden”). The construction of phase 2 is almost finished. 
The project consists of high-end apartments located at the Vecht-river, including a sports-harbour.
The borrower is a well-capitalized and professional party with a good track-record in developing. The security comes from the underlying value of the assets which is partly the land position of Phase 3 and the unsold apartments of phase 2. 
Loan metrics are good. Overall, this is a responsible loan for RED IV. </v>
      </c>
    </row>
    <row r="9" spans="1:21" x14ac:dyDescent="0.25">
      <c r="A9" s="24">
        <f>'Loan Tape'!B10</f>
        <v>511</v>
      </c>
      <c r="B9" t="str">
        <f>'Loan Tape'!C10</f>
        <v>Amsterdam</v>
      </c>
      <c r="C9" t="str">
        <f>'Loan Tape'!D10</f>
        <v>Leased</v>
      </c>
      <c r="D9" t="str">
        <f>'Loan Tape'!E10</f>
        <v>Short term Bridge finance of leased resi units in Amsterdam</v>
      </c>
      <c r="E9" t="str">
        <f>'Loan Tape'!F10</f>
        <v>Residential</v>
      </c>
      <c r="F9" t="b">
        <f>'Loan Tape'!G10</f>
        <v>1</v>
      </c>
      <c r="G9" t="str">
        <f>'Loan Tape'!H10</f>
        <v>RED IV</v>
      </c>
      <c r="H9">
        <f>'Loan Tape'!J10</f>
        <v>2500000</v>
      </c>
      <c r="I9">
        <f>'Loan Tape'!K10</f>
        <v>2500000</v>
      </c>
      <c r="J9">
        <f>'Loan Tape'!L10</f>
        <v>0</v>
      </c>
      <c r="K9" s="45">
        <f>'Loan Tape'!M10</f>
        <v>0.08</v>
      </c>
      <c r="L9" s="26">
        <f>'Loan Tape'!O10</f>
        <v>45962</v>
      </c>
      <c r="M9" s="26">
        <f>'Loan Tape'!P10</f>
        <v>46142</v>
      </c>
      <c r="N9">
        <f>'Loan Tape'!Q10</f>
        <v>124000</v>
      </c>
      <c r="O9" s="25">
        <f>'Loan Tape'!R10</f>
        <v>5138480</v>
      </c>
      <c r="P9" s="45">
        <f>'Loan Tape'!T10</f>
        <v>0.48652519811306066</v>
      </c>
      <c r="Q9" s="56">
        <f>'Loan Tape'!U10</f>
        <v>0.49281314168377821</v>
      </c>
      <c r="R9">
        <f>'Loan Tape'!V10</f>
        <v>0</v>
      </c>
      <c r="S9">
        <f>'Loan Tape'!W10</f>
        <v>0</v>
      </c>
      <c r="T9">
        <f>'Loan Tape'!X10</f>
        <v>0</v>
      </c>
      <c r="U9" t="str">
        <f>'Loan Tape'!Y10</f>
        <v>The company requires temporary liquidity to bridge the period until completion of an ongoing refinancing process with a major bank. Several unencumbered assets are available as collateral, mainly residential units (split apartments) in Amsterdam, generating approximately €124,000 gross per year, complemented by three owner-occupied commercial properties. The total portfolio value, including these assets, amounts to roughly €5.44 million, resulting in an LTV between 46–57%. The facility is provided at a conservative level considering the underlying value of the collateral. The vacant value of the residential assets is significantly higher than the current low rental levels.
The portfolio consists of 18 apartments in Amsterdam, two commercial properties in the Western Docklands, two industrial sites in Emmeloord, one apartment in Hilversum, and a recently acquired residential property in Hilversum valued at €1.5 million and situated on 7,100 m² of land. The average loan amount per asset, excluding the Hilversum residence, is around €108,000, with an estimated average value of €235,000. This reflects a prudent financing level given the liquidity and quality of the assets, of which approximately 75% are Amsterdam apartments.
The borrower is financially solid with sufficient cash flow and a long-standing profitable track record. Assets are well-located and easily marketable. The operator has extensive experience in real estate and provides personal recourse. Exit will occur through refinancing once the bank facility is completed. 
Overall, a suitable proposition for RED IV.</v>
      </c>
    </row>
    <row r="10" spans="1:21" x14ac:dyDescent="0.25">
      <c r="A10" s="24">
        <f>'Loan Tape'!B11</f>
        <v>513</v>
      </c>
      <c r="B10" t="str">
        <f>'Loan Tape'!C11</f>
        <v>Den Bosch</v>
      </c>
      <c r="C10" t="str">
        <f>'Loan Tape'!D11</f>
        <v>Leased</v>
      </c>
      <c r="D10" t="str">
        <f>'Loan Tape'!E11</f>
        <v>Leased,  office asset - multi tenants</v>
      </c>
      <c r="E10" t="str">
        <f>'Loan Tape'!F11</f>
        <v>Office</v>
      </c>
      <c r="F10" t="b">
        <f>'Loan Tape'!G11</f>
        <v>1</v>
      </c>
      <c r="G10" t="str">
        <f>'Loan Tape'!H11</f>
        <v>RED IV</v>
      </c>
      <c r="H10">
        <f>'Loan Tape'!J11</f>
        <v>8250000</v>
      </c>
      <c r="I10">
        <f>'Loan Tape'!K11</f>
        <v>8250000</v>
      </c>
      <c r="J10">
        <f>'Loan Tape'!L11</f>
        <v>0</v>
      </c>
      <c r="K10" s="45">
        <f>'Loan Tape'!M11</f>
        <v>7.1499999999999994E-2</v>
      </c>
      <c r="L10" s="26">
        <f>'Loan Tape'!O11</f>
        <v>46023</v>
      </c>
      <c r="M10" s="26">
        <f>'Loan Tape'!P11</f>
        <v>47105</v>
      </c>
      <c r="N10">
        <f>'Loan Tape'!Q11</f>
        <v>1230000</v>
      </c>
      <c r="O10" s="25">
        <f>'Loan Tape'!R11</f>
        <v>13800000</v>
      </c>
      <c r="P10" s="45">
        <f>'Loan Tape'!T11</f>
        <v>0.59782608695652173</v>
      </c>
      <c r="Q10" s="56">
        <f>'Loan Tape'!U11</f>
        <v>2.9623545516769334</v>
      </c>
      <c r="R10" t="str">
        <f>'Loan Tape'!V11</f>
        <v>https://maps.app.goo.gl/bs2Ne8cMyrQArArX7</v>
      </c>
      <c r="S10" t="str">
        <f>'Loan Tape'!W11</f>
        <v>https://kadastralekaart.com/kaart/perceel/HTG00/S/478</v>
      </c>
      <c r="T10" t="str">
        <f>'Loan Tape'!X11</f>
        <v>https://i.imgur.com/Re0YyXC.png</v>
      </c>
      <c r="U10" t="str">
        <f>'Loan Tape'!Y11</f>
        <v>This financing concerns the acquisition of a fully leased office property in ’s-Hertogenbosch. The asset consists of three connected towers with a flexible layout, allowing for separation into individual units, and provides approximately 6,300m² LFA with ample parking. The property is modern, recently renovated, energy efficient and generates stable rental income.The WALT of 4.97 years strengthens the income profile, while a €1 million cash-sweep mechanism further mitigates risk by directly linking our exposure to rental performance. Exit risk is limited; supported by strong occupancy (WALT) and a long-term redevelopment potential into healthcare housing as a future upside alternative. While such redevelopment would require substantial work and time — zoning changes and permits — it provides an attractive optionality. Even if redevelopment proves challenging, the property in its current state remains a well-lettable investment product with solid saleability, particularly at the applied financing level.</v>
      </c>
    </row>
    <row r="11" spans="1:21" x14ac:dyDescent="0.25">
      <c r="A11">
        <f>'Loan Tape'!B12</f>
        <v>514</v>
      </c>
      <c r="B11" t="str">
        <f>'Loan Tape'!C12</f>
        <v>Amsterdam</v>
      </c>
      <c r="C11" t="str">
        <f>'Loan Tape'!D12</f>
        <v>Leased</v>
      </c>
      <c r="D11" t="str">
        <f>'Loan Tape'!E12</f>
        <v>Resi asset with plan to split into smaller units and sale</v>
      </c>
      <c r="E11" t="str">
        <f>'Loan Tape'!F12</f>
        <v>Residential</v>
      </c>
      <c r="F11" t="b">
        <f>'Loan Tape'!G12</f>
        <v>0</v>
      </c>
      <c r="G11" t="str">
        <f>'Loan Tape'!H12</f>
        <v>RED IV</v>
      </c>
      <c r="H11">
        <f>'Loan Tape'!J12</f>
        <v>700000</v>
      </c>
      <c r="I11">
        <f>'Loan Tape'!K12</f>
        <v>700000</v>
      </c>
      <c r="J11">
        <f>'Loan Tape'!L12</f>
        <v>0</v>
      </c>
      <c r="K11" s="45">
        <f>'Loan Tape'!M12</f>
        <v>8.2500000000000004E-2</v>
      </c>
      <c r="L11" s="26">
        <f>'Loan Tape'!O12</f>
        <v>45962</v>
      </c>
      <c r="M11" s="26">
        <f>'Loan Tape'!P12</f>
        <v>46507</v>
      </c>
      <c r="N11">
        <f>'Loan Tape'!Q12</f>
        <v>47000</v>
      </c>
      <c r="O11">
        <f>'Loan Tape'!R12</f>
        <v>960000</v>
      </c>
      <c r="P11" s="45">
        <f>'Loan Tape'!T12</f>
        <v>0.72916666666666663</v>
      </c>
      <c r="Q11" s="56">
        <f>'Loan Tape'!U12</f>
        <v>1.4921286789869952</v>
      </c>
      <c r="R11" t="str">
        <f>'Loan Tape'!V12</f>
        <v>https://maps.app.goo.gl/hAtL4DG9LciUpMXdA</v>
      </c>
      <c r="S11" t="str">
        <f>'Loan Tape'!W12</f>
        <v>https://kadastralekaart.com/kaart/perceel/ASD07/K/8669</v>
      </c>
      <c r="T11" t="str">
        <f>'Loan Tape'!X12</f>
        <v>https://i.imgur.com/KmOoASF.jpeg</v>
      </c>
      <c r="U11" t="str">
        <f>'Loan Tape'!Y12</f>
        <v>This financing concerns the acquisition of a leased residential property in Amsterdam-Noord (leasehold) consisting of three units with a total GFA of roughly 250–275m². The borrower intends to vacate the units, legally subdivide the property and either sell the apartments individually or renovate further depending on market conditions.  The valuation supports the business plan, with current value around €960.000 and exit potential of €1.500.000–€1.650.000. Key risks relate to liquidity pressure and timing of subdivision, mitigated by an 18-month interest reserve and personal guarantees. Overall, the loan amount is considered acceptable given the vacant-possession potential and marketability.</v>
      </c>
    </row>
    <row r="12" spans="1:21" x14ac:dyDescent="0.25">
      <c r="A12">
        <f>'Loan Tape'!B13</f>
        <v>515</v>
      </c>
      <c r="B12" t="str">
        <f>'Loan Tape'!C13</f>
        <v>Utrecht</v>
      </c>
      <c r="C12" t="str">
        <f>'Loan Tape'!D13</f>
        <v>Leased</v>
      </c>
      <c r="D12" t="str">
        <f>'Loan Tape'!E13</f>
        <v>Multi tenant offices. Possible long term redevelopment potential</v>
      </c>
      <c r="E12" t="str">
        <f>'Loan Tape'!F13</f>
        <v>Office</v>
      </c>
      <c r="F12" t="b">
        <f>'Loan Tape'!G13</f>
        <v>1</v>
      </c>
      <c r="G12" t="str">
        <f>'Loan Tape'!H13</f>
        <v>RED IV</v>
      </c>
      <c r="H12">
        <f>'Loan Tape'!J13</f>
        <v>12000000</v>
      </c>
      <c r="I12">
        <f>'Loan Tape'!K13</f>
        <v>12000000</v>
      </c>
      <c r="J12">
        <f>'Loan Tape'!L13</f>
        <v>0</v>
      </c>
      <c r="K12" s="45">
        <f>'Loan Tape'!M13</f>
        <v>7.0000000000000007E-2</v>
      </c>
      <c r="L12" s="26">
        <f>'Loan Tape'!O13</f>
        <v>46054</v>
      </c>
      <c r="M12" s="26">
        <f>'Loan Tape'!P13</f>
        <v>47114</v>
      </c>
      <c r="N12">
        <f>'Loan Tape'!Q13</f>
        <v>2150000</v>
      </c>
      <c r="O12">
        <f>'Loan Tape'!R13</f>
        <v>20050000</v>
      </c>
      <c r="P12" s="45">
        <f>'Loan Tape'!T13</f>
        <v>0.59850374064837908</v>
      </c>
      <c r="Q12" s="56">
        <f>'Loan Tape'!U13</f>
        <v>2.9021218343600275</v>
      </c>
      <c r="R12" t="str">
        <f>'Loan Tape'!V13</f>
        <v>https://maps.app.goo.gl/6aTGsroijrGwSurw7</v>
      </c>
      <c r="S12" t="str">
        <f>'Loan Tape'!W13</f>
        <v>https://kadastralekaart.com/kaart/perceel/UTT00/O/1117</v>
      </c>
      <c r="T12" t="str">
        <f>'Loan Tape'!X13</f>
        <v>https://i.imgur.com/xljbU1O.png</v>
      </c>
      <c r="U12" t="str">
        <f>'Loan Tape'!Y13</f>
        <v>This proposal concerns the financing of multiple commercial objects located near the FC Utrecht stadium. In the near future, there are opportunities to redevelop the area, with the possibility to add residential units on top of the existing structures. Borrower wishes to bridge the term to obtain a permit for this redevelopment. Borrower is an SPV with two sponsors: a professional developer with proven track-record and a private investor with healthy financials. There is only limited recourse. Objects are well-maintained and well-rented to cover the interest expenses. WALT is acceptable given the maturity of this loan. LTV based on the as is situation and cash flow are sufficient. The loan is fits well within the terms of RED.</v>
      </c>
    </row>
    <row r="13" spans="1:21" x14ac:dyDescent="0.25">
      <c r="A13">
        <f>'Loan Tape'!B14</f>
        <v>518</v>
      </c>
      <c r="B13" t="str">
        <f>'Loan Tape'!C14</f>
        <v>Amsterdam / Almere / Amersfoort</v>
      </c>
      <c r="C13" t="str">
        <f>'Loan Tape'!D14</f>
        <v>Leased</v>
      </c>
      <c r="D13" t="str">
        <f>'Loan Tape'!E14</f>
        <v>Portfolio of residential, commercial and office assets</v>
      </c>
      <c r="E13" t="str">
        <f>'Loan Tape'!F14</f>
        <v>Mixed</v>
      </c>
      <c r="F13" t="b">
        <f>'Loan Tape'!G14</f>
        <v>1</v>
      </c>
      <c r="G13" t="str">
        <f>'Loan Tape'!H14</f>
        <v>TLFJANA</v>
      </c>
      <c r="H13">
        <f>'Loan Tape'!J14</f>
        <v>5000000</v>
      </c>
      <c r="I13">
        <f>'Loan Tape'!K14</f>
        <v>5000000</v>
      </c>
      <c r="J13">
        <f>'Loan Tape'!L14</f>
        <v>0</v>
      </c>
      <c r="K13" s="45">
        <f>'Loan Tape'!M14</f>
        <v>0.09</v>
      </c>
      <c r="L13" s="26">
        <f>'Loan Tape'!O14</f>
        <v>46054</v>
      </c>
      <c r="M13" s="26">
        <f>'Loan Tape'!P14</f>
        <v>46215</v>
      </c>
      <c r="N13">
        <f>'Loan Tape'!Q14</f>
        <v>867000</v>
      </c>
      <c r="O13">
        <f>'Loan Tape'!R14</f>
        <v>14580000</v>
      </c>
      <c r="P13" s="45">
        <f>'Loan Tape'!T14</f>
        <v>0.34293552812071332</v>
      </c>
      <c r="Q13" s="56">
        <f>'Loan Tape'!U14</f>
        <v>0.44079397672826831</v>
      </c>
      <c r="R13">
        <f>'Loan Tape'!V14</f>
        <v>0</v>
      </c>
      <c r="S13">
        <f>'Loan Tape'!W14</f>
        <v>0</v>
      </c>
      <c r="T13">
        <f>'Loan Tape'!X14</f>
        <v>0</v>
      </c>
      <c r="U13">
        <f>'Loan Tape'!Y14</f>
        <v>0</v>
      </c>
    </row>
    <row r="14" spans="1:21" x14ac:dyDescent="0.25">
      <c r="A14">
        <f>'Loan Tape'!B15</f>
        <v>520</v>
      </c>
      <c r="B14" t="str">
        <f>'Loan Tape'!C15</f>
        <v>Oss</v>
      </c>
      <c r="C14" t="str">
        <f>'Loan Tape'!D15</f>
        <v>Leased</v>
      </c>
      <c r="D14" t="str">
        <f>'Loan Tape'!E15</f>
        <v xml:space="preserve">Partially owner-occupied modern industrial property </v>
      </c>
      <c r="E14" t="str">
        <f>'Loan Tape'!F15</f>
        <v xml:space="preserve">Light Industrial </v>
      </c>
      <c r="F14" t="b">
        <f>'Loan Tape'!G15</f>
        <v>1</v>
      </c>
      <c r="G14" t="str">
        <f>'Loan Tape'!H15</f>
        <v>TLFDECA</v>
      </c>
      <c r="H14">
        <f>'Loan Tape'!J15</f>
        <v>8000000</v>
      </c>
      <c r="I14">
        <f>'Loan Tape'!K15</f>
        <v>8000000</v>
      </c>
      <c r="J14">
        <f>'Loan Tape'!L15</f>
        <v>0</v>
      </c>
      <c r="K14" s="45">
        <f>'Loan Tape'!M15</f>
        <v>0.08</v>
      </c>
      <c r="L14" s="26">
        <f>'Loan Tape'!O15</f>
        <v>46023</v>
      </c>
      <c r="M14" s="26">
        <f>'Loan Tape'!P15</f>
        <v>47106</v>
      </c>
      <c r="N14">
        <f>'Loan Tape'!Q15</f>
        <v>1500000</v>
      </c>
      <c r="O14">
        <f>'Loan Tape'!R15</f>
        <v>23500000</v>
      </c>
      <c r="P14" s="45">
        <f>'Loan Tape'!T15</f>
        <v>0.34042553191489361</v>
      </c>
      <c r="Q14" s="56">
        <f>'Loan Tape'!U15</f>
        <v>2.9650924024640659</v>
      </c>
      <c r="R14" t="str">
        <f>'Loan Tape'!V15</f>
        <v>https://maps.app.goo.gl/2Gw73caiUCVRvPNb6</v>
      </c>
      <c r="S14" t="str">
        <f>'Loan Tape'!W15</f>
        <v>https://kadastralekaart.com/kaart/perceel/OSS00/B/6494</v>
      </c>
      <c r="T14" t="str">
        <f>'Loan Tape'!X15</f>
        <v>https://i.imgur.com/6t0C7AB.png</v>
      </c>
      <c r="U14" t="str">
        <f>'Loan Tape'!Y15</f>
        <v>This financing concerns a first-mortgage loan secured on a recently completed, modern industrial property located on a well-accessible business park near the motorway. The asset has an appraised value of approximately €23.5 million and is fully leased, generating around €1.5 million in annual rental income. The financing is provided at a conservative leverage level, with an LTV of roughly 34 percent, offering substantial downside protection. Rental income is diversified between an external logistics tenant under a long-term lease and an owner-occupier. Sponsor commitment is reinforced through significant subordinated capital remaining in the structure. Overall, the combination of strong asset quality, low leverage, stable income and clear exit options results in an attractive, well-secured financing aligned with the investment profile of RAX RED IV.</v>
      </c>
    </row>
    <row r="15" spans="1:21" x14ac:dyDescent="0.25">
      <c r="A15">
        <f>'Loan Tape'!B16</f>
        <v>522</v>
      </c>
      <c r="B15" t="str">
        <f>'Loan Tape'!C16</f>
        <v>Zevenaar</v>
      </c>
      <c r="C15" t="str">
        <f>'Loan Tape'!D16</f>
        <v>Development</v>
      </c>
      <c r="D15" t="str">
        <f>'Loan Tape'!E16</f>
        <v>Fully permitted land for residential development</v>
      </c>
      <c r="E15" t="str">
        <f>'Loan Tape'!F16</f>
        <v>Residential</v>
      </c>
      <c r="F15" t="b">
        <f>'Loan Tape'!G16</f>
        <v>0</v>
      </c>
      <c r="G15" t="str">
        <f>'Loan Tape'!H16</f>
        <v>RED IV</v>
      </c>
      <c r="H15">
        <f>'Loan Tape'!J16</f>
        <v>3000000</v>
      </c>
      <c r="I15">
        <f>'Loan Tape'!K16</f>
        <v>3000000</v>
      </c>
      <c r="J15">
        <f>'Loan Tape'!L16</f>
        <v>0</v>
      </c>
      <c r="K15" s="45">
        <f>'Loan Tape'!M16</f>
        <v>8.3000000000000004E-2</v>
      </c>
      <c r="L15" s="26">
        <f>'Loan Tape'!O16</f>
        <v>46054</v>
      </c>
      <c r="M15" s="26">
        <f>'Loan Tape'!P16</f>
        <v>46589</v>
      </c>
      <c r="N15">
        <f>'Loan Tape'!Q16</f>
        <v>0</v>
      </c>
      <c r="O15">
        <f>'Loan Tape'!R16</f>
        <v>10000000</v>
      </c>
      <c r="P15" s="45">
        <f>'Loan Tape'!T16</f>
        <v>0.3</v>
      </c>
      <c r="Q15" s="56">
        <f>'Loan Tape'!U16</f>
        <v>1.4647501711156743</v>
      </c>
      <c r="R15">
        <f>'Loan Tape'!V16</f>
        <v>0</v>
      </c>
      <c r="S15">
        <f>'Loan Tape'!W16</f>
        <v>0</v>
      </c>
      <c r="T15">
        <f>'Loan Tape'!X16</f>
        <v>0</v>
      </c>
      <c r="U15">
        <f>'Loan Tape'!Y16</f>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BB1D-B877-439D-8854-1A4A42592DB8}">
  <dimension ref="A1:W6"/>
  <sheetViews>
    <sheetView zoomScale="70" zoomScaleNormal="70" workbookViewId="0">
      <selection activeCell="F15" sqref="F15"/>
    </sheetView>
  </sheetViews>
  <sheetFormatPr defaultColWidth="8.85546875" defaultRowHeight="15" x14ac:dyDescent="0.25"/>
  <cols>
    <col min="1" max="1" width="9.85546875" bestFit="1" customWidth="1"/>
    <col min="2" max="2" width="16.140625" bestFit="1" customWidth="1"/>
    <col min="3" max="3" width="15.42578125" bestFit="1" customWidth="1"/>
    <col min="4" max="4" width="13.28515625" bestFit="1" customWidth="1"/>
    <col min="5" max="5" width="14" bestFit="1" customWidth="1"/>
    <col min="6" max="6" width="27" bestFit="1" customWidth="1"/>
    <col min="7" max="7" width="9.85546875" bestFit="1" customWidth="1"/>
    <col min="8" max="8" width="17.7109375" bestFit="1" customWidth="1"/>
    <col min="9" max="9" width="9.7109375" bestFit="1" customWidth="1"/>
    <col min="10" max="10" width="17.85546875" bestFit="1" customWidth="1"/>
    <col min="11" max="11" width="17" bestFit="1" customWidth="1"/>
    <col min="12" max="12" width="14.85546875" bestFit="1" customWidth="1"/>
    <col min="13" max="13" width="15.42578125" bestFit="1" customWidth="1"/>
    <col min="14" max="14" width="28.42578125" bestFit="1" customWidth="1"/>
    <col min="15" max="15" width="11.42578125" bestFit="1" customWidth="1"/>
    <col min="17" max="17" width="8.140625" bestFit="1" customWidth="1"/>
    <col min="18" max="18" width="17.7109375" bestFit="1" customWidth="1"/>
    <col min="19" max="19" width="16.85546875" bestFit="1" customWidth="1"/>
    <col min="20" max="20" width="13.42578125" bestFit="1" customWidth="1"/>
    <col min="21" max="21" width="14" bestFit="1" customWidth="1"/>
    <col min="22" max="22" width="27" bestFit="1" customWidth="1"/>
    <col min="23" max="23" width="9.85546875" bestFit="1" customWidth="1"/>
  </cols>
  <sheetData>
    <row r="1" spans="1:23" ht="15.75" thickBot="1" x14ac:dyDescent="0.3">
      <c r="A1" s="31" t="s">
        <v>68</v>
      </c>
      <c r="B1" s="32"/>
      <c r="C1" s="31"/>
      <c r="D1" s="31"/>
      <c r="E1" s="31"/>
      <c r="F1" s="33"/>
      <c r="G1" s="34"/>
      <c r="I1" s="32"/>
      <c r="J1" s="31" t="s">
        <v>69</v>
      </c>
      <c r="K1" s="31"/>
      <c r="L1" s="35"/>
      <c r="M1" s="35"/>
      <c r="N1" s="36"/>
      <c r="O1" s="35"/>
      <c r="P1" s="35"/>
      <c r="Q1" s="35" t="s">
        <v>70</v>
      </c>
    </row>
    <row r="2" spans="1:23" x14ac:dyDescent="0.25">
      <c r="A2" t="s">
        <v>71</v>
      </c>
      <c r="B2" t="s">
        <v>72</v>
      </c>
      <c r="C2" t="s">
        <v>73</v>
      </c>
      <c r="D2" t="s">
        <v>74</v>
      </c>
      <c r="E2" t="s">
        <v>75</v>
      </c>
      <c r="F2" s="37" t="s">
        <v>76</v>
      </c>
      <c r="G2" t="s">
        <v>77</v>
      </c>
      <c r="H2" s="38" t="s">
        <v>78</v>
      </c>
      <c r="I2" t="s">
        <v>79</v>
      </c>
      <c r="J2" t="s">
        <v>80</v>
      </c>
      <c r="K2" t="s">
        <v>81</v>
      </c>
      <c r="L2" t="s">
        <v>82</v>
      </c>
      <c r="M2" t="s">
        <v>83</v>
      </c>
      <c r="N2" s="37" t="s">
        <v>84</v>
      </c>
      <c r="O2" t="s">
        <v>85</v>
      </c>
      <c r="Q2" s="39" t="str">
        <f>Merge1[[#Headers],[Account]]</f>
        <v>Account</v>
      </c>
      <c r="R2" s="40" t="str">
        <f>Merge1[[#Headers],[Principal Balance]]</f>
        <v>Principal Balance</v>
      </c>
      <c r="S2" s="40" t="str">
        <f>Merge1[[#Headers],[Original Balance]]</f>
        <v>Original Balance</v>
      </c>
      <c r="T2" s="39" t="str">
        <f>Merge1[[#Headers],[Maturity Date]]</f>
        <v>Maturity Date</v>
      </c>
      <c r="U2" s="39" t="str">
        <f>Merge1[[#Headers],[Appraisal Date]]</f>
        <v>Appraisal Date</v>
      </c>
      <c r="V2" s="40" t="str">
        <f>Merge1[[#Headers],[Aggregate Appraised Value]]</f>
        <v>Aggregate Appraised Value</v>
      </c>
      <c r="W2" s="41" t="str">
        <f>Merge1[[#Headers],[Note Rate]]</f>
        <v>Note Rate</v>
      </c>
    </row>
    <row r="3" spans="1:23" x14ac:dyDescent="0.25">
      <c r="A3">
        <v>484</v>
      </c>
      <c r="B3" s="37">
        <v>8696509.0899999999</v>
      </c>
      <c r="C3" s="37">
        <v>25000000</v>
      </c>
      <c r="D3" s="26">
        <v>46692</v>
      </c>
      <c r="E3" s="26">
        <v>45741</v>
      </c>
      <c r="F3" s="37">
        <v>39300000</v>
      </c>
      <c r="G3" s="42">
        <v>0.08</v>
      </c>
      <c r="H3" s="43" t="s">
        <v>86</v>
      </c>
      <c r="I3" s="44">
        <v>484</v>
      </c>
      <c r="J3" s="37">
        <v>8625361.1500000004</v>
      </c>
      <c r="K3" s="37">
        <v>25000000</v>
      </c>
      <c r="L3" s="26">
        <v>46692</v>
      </c>
      <c r="M3" s="26">
        <v>45741</v>
      </c>
      <c r="N3" s="37">
        <v>39300000</v>
      </c>
      <c r="O3" s="45">
        <v>0.08</v>
      </c>
      <c r="Q3" s="46">
        <f>IF(Merge1[[#This Row],[Account]]=0,Merge1[[#This Row],[Account.1]],Merge1[[#This Row],[Account]])</f>
        <v>484</v>
      </c>
      <c r="R3" s="47">
        <f>-Merge1[[#This Row],[Principal Balance.1]]+Merge1[[#This Row],[Principal Balance]]</f>
        <v>71147.939999999478</v>
      </c>
      <c r="S3" s="47">
        <f>-Merge1[[#This Row],[Original Balance.1]]+Merge1[[#This Row],[Original Balance]]</f>
        <v>0</v>
      </c>
      <c r="T3" s="48" t="str">
        <f>IF(Merge1[[#This Row],[Maturity Date.1]]-Merge1[[#This Row],[Maturity Date]]=0,"",Merge1[[#This Row],[Maturity Date]])</f>
        <v/>
      </c>
      <c r="U3" s="48" t="str">
        <f>IF(Merge1[[#This Row],[Appraisal Date.1]]-Merge1[[#This Row],[Appraisal Date]]=0,"",Merge1[[#This Row],[Appraisal Date]])</f>
        <v/>
      </c>
      <c r="V3" s="47">
        <f>Merge1[[#This Row],[Aggregate Appraised Value.1]]-Merge1[[#This Row],[Aggregate Appraised Value]]</f>
        <v>0</v>
      </c>
      <c r="W3" s="49">
        <f>Merge1[[#This Row],[Note Rate.1]]-Merge1[[#This Row],[Note Rate]]</f>
        <v>0</v>
      </c>
    </row>
    <row r="4" spans="1:23" x14ac:dyDescent="0.25">
      <c r="A4">
        <v>507</v>
      </c>
      <c r="B4" s="37">
        <v>4177116.99</v>
      </c>
      <c r="C4" s="37">
        <v>6500000</v>
      </c>
      <c r="D4" s="26">
        <v>46478</v>
      </c>
      <c r="E4" s="26">
        <v>45820</v>
      </c>
      <c r="F4" s="37">
        <v>20460000</v>
      </c>
      <c r="G4" s="42">
        <v>8.6499999999999994E-2</v>
      </c>
      <c r="H4" s="43" t="s">
        <v>86</v>
      </c>
      <c r="I4" s="50">
        <v>507</v>
      </c>
      <c r="J4" s="37">
        <v>3918742.06</v>
      </c>
      <c r="K4" s="37">
        <v>6500000</v>
      </c>
      <c r="L4" s="26">
        <v>46478</v>
      </c>
      <c r="M4" s="26">
        <v>45820</v>
      </c>
      <c r="N4" s="37">
        <v>20460000</v>
      </c>
      <c r="O4" s="45">
        <v>8.6499999999999994E-2</v>
      </c>
      <c r="Q4" s="46">
        <f>IF(Merge1[[#This Row],[Account]]=0,Merge1[[#This Row],[Account.1]],Merge1[[#This Row],[Account]])</f>
        <v>507</v>
      </c>
      <c r="R4" s="51">
        <f>-Merge1[[#This Row],[Principal Balance.1]]+Merge1[[#This Row],[Principal Balance]]</f>
        <v>258374.93000000017</v>
      </c>
      <c r="S4" s="51">
        <f>-Merge1[[#This Row],[Original Balance.1]]+Merge1[[#This Row],[Original Balance]]</f>
        <v>0</v>
      </c>
      <c r="T4" s="48" t="str">
        <f>IF(Merge1[[#This Row],[Maturity Date.1]]-Merge1[[#This Row],[Maturity Date]]=0,"",Merge1[[#This Row],[Maturity Date]])</f>
        <v/>
      </c>
      <c r="U4" s="48" t="str">
        <f>IF(Merge1[[#This Row],[Appraisal Date.1]]-Merge1[[#This Row],[Appraisal Date]]=0,"",Merge1[[#This Row],[Appraisal Date]])</f>
        <v/>
      </c>
      <c r="V4" s="51">
        <f>Merge1[[#This Row],[Aggregate Appraised Value.1]]-Merge1[[#This Row],[Aggregate Appraised Value]]</f>
        <v>0</v>
      </c>
      <c r="W4" s="52">
        <f>Merge1[[#This Row],[Note Rate.1]]-Merge1[[#This Row],[Note Rate]]</f>
        <v>0</v>
      </c>
    </row>
    <row r="5" spans="1:23" x14ac:dyDescent="0.25">
      <c r="A5">
        <v>518</v>
      </c>
      <c r="B5" s="37">
        <v>5000000</v>
      </c>
      <c r="C5" s="37">
        <v>5000000</v>
      </c>
      <c r="D5" s="26">
        <v>46215</v>
      </c>
      <c r="E5" s="26">
        <v>46023</v>
      </c>
      <c r="F5" s="37">
        <v>14580000</v>
      </c>
      <c r="G5" s="42">
        <v>0.09</v>
      </c>
      <c r="H5" s="43" t="s">
        <v>87</v>
      </c>
      <c r="I5" s="50"/>
      <c r="J5" s="37"/>
      <c r="K5" s="37"/>
      <c r="L5" s="26"/>
      <c r="M5" s="26"/>
      <c r="N5" s="37"/>
      <c r="O5" s="45"/>
      <c r="Q5" s="46">
        <f>IF(Merge1[[#This Row],[Account]]=0,Merge1[[#This Row],[Account.1]],Merge1[[#This Row],[Account]])</f>
        <v>518</v>
      </c>
      <c r="R5" s="47">
        <f>-Merge1[[#This Row],[Principal Balance.1]]+Merge1[[#This Row],[Principal Balance]]</f>
        <v>5000000</v>
      </c>
      <c r="S5" s="47">
        <f>-Merge1[[#This Row],[Original Balance.1]]+Merge1[[#This Row],[Original Balance]]</f>
        <v>5000000</v>
      </c>
      <c r="T5" s="48">
        <f>IF(Merge1[[#This Row],[Maturity Date.1]]-Merge1[[#This Row],[Maturity Date]]=0,"",Merge1[[#This Row],[Maturity Date]])</f>
        <v>46215</v>
      </c>
      <c r="U5" s="48">
        <f>IF(Merge1[[#This Row],[Appraisal Date.1]]-Merge1[[#This Row],[Appraisal Date]]=0,"",Merge1[[#This Row],[Appraisal Date]])</f>
        <v>46023</v>
      </c>
      <c r="V5" s="47">
        <f>Merge1[[#This Row],[Aggregate Appraised Value.1]]-Merge1[[#This Row],[Aggregate Appraised Value]]</f>
        <v>-14580000</v>
      </c>
      <c r="W5" s="49">
        <f>Merge1[[#This Row],[Note Rate.1]]-Merge1[[#This Row],[Note Rate]]</f>
        <v>-0.09</v>
      </c>
    </row>
    <row r="6" spans="1:23" x14ac:dyDescent="0.25">
      <c r="A6">
        <v>522</v>
      </c>
      <c r="B6" s="37">
        <v>3000000</v>
      </c>
      <c r="C6" s="37">
        <v>3000000</v>
      </c>
      <c r="D6" s="26">
        <v>46589</v>
      </c>
      <c r="E6" s="26">
        <v>46023</v>
      </c>
      <c r="F6" s="37">
        <v>10000000</v>
      </c>
      <c r="G6" s="42">
        <v>8.3000000000000004E-2</v>
      </c>
      <c r="H6" s="43" t="s">
        <v>87</v>
      </c>
      <c r="I6" s="50"/>
      <c r="J6" s="37"/>
      <c r="K6" s="37"/>
      <c r="L6" s="26"/>
      <c r="M6" s="26"/>
      <c r="N6" s="37"/>
      <c r="O6" s="45"/>
      <c r="Q6" s="46">
        <f>IF(Merge1[[#This Row],[Account]]=0,Merge1[[#This Row],[Account.1]],Merge1[[#This Row],[Account]])</f>
        <v>522</v>
      </c>
      <c r="R6" s="47">
        <f>-Merge1[[#This Row],[Principal Balance.1]]+Merge1[[#This Row],[Principal Balance]]</f>
        <v>3000000</v>
      </c>
      <c r="S6" s="47">
        <f>-Merge1[[#This Row],[Original Balance.1]]+Merge1[[#This Row],[Original Balance]]</f>
        <v>3000000</v>
      </c>
      <c r="T6" s="48">
        <f>IF(Merge1[[#This Row],[Maturity Date.1]]-Merge1[[#This Row],[Maturity Date]]=0,"",Merge1[[#This Row],[Maturity Date]])</f>
        <v>46589</v>
      </c>
      <c r="U6" s="48">
        <f>IF(Merge1[[#This Row],[Appraisal Date.1]]-Merge1[[#This Row],[Appraisal Date]]=0,"",Merge1[[#This Row],[Appraisal Date]])</f>
        <v>46023</v>
      </c>
      <c r="V6" s="47">
        <f>Merge1[[#This Row],[Aggregate Appraised Value.1]]-Merge1[[#This Row],[Aggregate Appraised Value]]</f>
        <v>-10000000</v>
      </c>
      <c r="W6" s="49">
        <f>Merge1[[#This Row],[Note Rate.1]]-Merge1[[#This Row],[Note Rate]]</f>
        <v>-8.3000000000000004E-2</v>
      </c>
    </row>
  </sheetData>
  <conditionalFormatting sqref="R1:S1 V1:V2">
    <cfRule type="cellIs" dxfId="0" priority="1" operator="lessThan">
      <formula>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ADF2BDE47E0440B0329048DF9AA539" ma:contentTypeVersion="18" ma:contentTypeDescription="Create a new document." ma:contentTypeScope="" ma:versionID="2cf9410a106f4db090e978d99ebbc139">
  <xsd:schema xmlns:xsd="http://www.w3.org/2001/XMLSchema" xmlns:xs="http://www.w3.org/2001/XMLSchema" xmlns:p="http://schemas.microsoft.com/office/2006/metadata/properties" xmlns:ns2="a91e38dd-2803-4a7e-9f77-b5b453adaa3a" xmlns:ns3="8783d4f6-7614-4ae5-9e1a-5e2b0a5ec009" targetNamespace="http://schemas.microsoft.com/office/2006/metadata/properties" ma:root="true" ma:fieldsID="16517bf6664d137f190733b849c1436b" ns2:_="" ns3:_="">
    <xsd:import namespace="a91e38dd-2803-4a7e-9f77-b5b453adaa3a"/>
    <xsd:import namespace="8783d4f6-7614-4ae5-9e1a-5e2b0a5ec0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e38dd-2803-4a7e-9f77-b5b453adaa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7557024-b14b-4d2d-a906-705aef3d5f6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83d4f6-7614-4ae5-9e1a-5e2b0a5ec00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c1a289f-e8d1-4ce9-a72c-9b8f208b7426}" ma:internalName="TaxCatchAll" ma:showField="CatchAllData" ma:web="8783d4f6-7614-4ae5-9e1a-5e2b0a5ec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8783d4f6-7614-4ae5-9e1a-5e2b0a5ec009" xsi:nil="true"/>
    <lcf76f155ced4ddcb4097134ff3c332f xmlns="a91e38dd-2803-4a7e-9f77-b5b453adaa3a">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04006D-4451-4D00-BD55-F280E2E9AB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1e38dd-2803-4a7e-9f77-b5b453adaa3a"/>
    <ds:schemaRef ds:uri="8783d4f6-7614-4ae5-9e1a-5e2b0a5ec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183BB-12BB-4F05-99E1-9138081779D1}">
  <ds:schemaRefs>
    <ds:schemaRef ds:uri="http://schemas.microsoft.com/DataMashup"/>
  </ds:schemaRefs>
</ds:datastoreItem>
</file>

<file path=customXml/itemProps3.xml><?xml version="1.0" encoding="utf-8"?>
<ds:datastoreItem xmlns:ds="http://schemas.openxmlformats.org/officeDocument/2006/customXml" ds:itemID="{14DBF526-7ACB-4073-B8B1-F44596299C68}">
  <ds:schemaRefs>
    <ds:schemaRef ds:uri="http://purl.org/dc/elements/1.1/"/>
    <ds:schemaRef ds:uri="http://schemas.microsoft.com/office/2006/metadata/properties"/>
    <ds:schemaRef ds:uri="http://purl.org/dc/terms/"/>
    <ds:schemaRef ds:uri="http://schemas.microsoft.com/office/2006/documentManagement/types"/>
    <ds:schemaRef ds:uri="http://purl.org/dc/dcmitype/"/>
    <ds:schemaRef ds:uri="8783d4f6-7614-4ae5-9e1a-5e2b0a5ec009"/>
    <ds:schemaRef ds:uri="http://schemas.microsoft.com/office/infopath/2007/PartnerControls"/>
    <ds:schemaRef ds:uri="http://schemas.openxmlformats.org/package/2006/metadata/core-properties"/>
    <ds:schemaRef ds:uri="a91e38dd-2803-4a7e-9f77-b5b453adaa3a"/>
    <ds:schemaRef ds:uri="http://www.w3.org/XML/1998/namespace"/>
  </ds:schemaRefs>
</ds:datastoreItem>
</file>

<file path=customXml/itemProps4.xml><?xml version="1.0" encoding="utf-8"?>
<ds:datastoreItem xmlns:ds="http://schemas.openxmlformats.org/officeDocument/2006/customXml" ds:itemID="{95B20F6B-E33A-4502-9D70-564654EE43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 Tape</vt:lpstr>
      <vt:lpstr>csv</vt:lpstr>
      <vt:lpstr>mutations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Liew</dc:creator>
  <cp:keywords/>
  <dc:description/>
  <cp:lastModifiedBy>Joel Liew</cp:lastModifiedBy>
  <cp:revision/>
  <dcterms:created xsi:type="dcterms:W3CDTF">2015-06-05T18:17:20Z</dcterms:created>
  <dcterms:modified xsi:type="dcterms:W3CDTF">2026-02-23T10:49:56Z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0x01010036ADF2BDE47E0440B0329048DF9AA539</vt:lpwstr>
  </property>
  <property fmtid="{D5CDD505-2E9C-101B-9397-08002B2CF9AE}" pid="3" name="MediaServiceImageTags">
    <vt:lpwstr/>
  </property>
</Properties>
</file>